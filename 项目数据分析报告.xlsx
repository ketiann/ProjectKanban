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项目总览" sheetId="1" state="visible" r:id="rId2"/>
    <sheet name="按合同类型分析" sheetId="2" state="visible" r:id="rId3"/>
    <sheet name="按所属部门分析" sheetId="3" state="visible" r:id="rId4"/>
    <sheet name="按项目阶段分析" sheetId="4" state="visible" r:id="rId5"/>
    <sheet name="按项目类型分析" sheetId="5" state="visible" r:id="rId6"/>
    <sheet name="合同金额TOP10" sheetId="6" state="visible" r:id="rId7"/>
    <sheet name="回款情况分析" sheetId="7" state="visible" r:id="rId8"/>
    <sheet name="成本与利润分析" sheetId="8" state="visible" r:id="rId9"/>
    <sheet name="人力投入分析" sheetId="9" state="visible" r:id="rId10"/>
    <sheet name="项目进度概览"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<sst xmlns="http://schemas.openxmlformats.org/spreadsheetml/2006/main" count="1570" uniqueCount="351">
  <si>
    <t xml:space="preserve">项目信息总览</t>
  </si>
  <si>
    <r>
      <rPr>
        <sz val="10"/>
        <color rgb="FF6B7280"/>
        <rFont val="Noto Sans CJK SC"/>
        <family val="2"/>
      </rPr>
      <t xml:space="preserve">共计 </t>
    </r>
    <r>
      <rPr>
        <sz val="10"/>
        <color rgb="FF6B7280"/>
        <rFont val="Arial"/>
        <family val="0"/>
        <charset val="1"/>
      </rPr>
      <t xml:space="preserve">96 </t>
    </r>
    <r>
      <rPr>
        <sz val="10"/>
        <color rgb="FF6B7280"/>
        <rFont val="Noto Sans CJK SC"/>
        <family val="2"/>
      </rPr>
      <t xml:space="preserve">个项目</t>
    </r>
  </si>
  <si>
    <r>
      <rPr>
        <b val="true"/>
        <sz val="11"/>
        <color rgb="FFFFFFFF"/>
        <rFont val="Noto Sans CJK SC"/>
        <family val="2"/>
      </rPr>
      <t xml:space="preserve">禅道</t>
    </r>
    <r>
      <rPr>
        <b val="true"/>
        <sz val="11"/>
        <color rgb="FFFFFFFF"/>
        <rFont val="Arial"/>
        <family val="0"/>
        <charset val="1"/>
      </rPr>
      <t xml:space="preserve">ID</t>
    </r>
  </si>
  <si>
    <t xml:space="preserve">内控编号</t>
  </si>
  <si>
    <t xml:space="preserve">项目名称</t>
  </si>
  <si>
    <t xml:space="preserve">合同签订状态</t>
  </si>
  <si>
    <t xml:space="preserve">合同金额（元）</t>
  </si>
  <si>
    <t xml:space="preserve">合同回款情况</t>
  </si>
  <si>
    <t xml:space="preserve">已回款金额（元）</t>
  </si>
  <si>
    <t xml:space="preserve">所属中心</t>
  </si>
  <si>
    <t xml:space="preserve">商务责任人</t>
  </si>
  <si>
    <t xml:space="preserve">所属部门</t>
  </si>
  <si>
    <t xml:space="preserve">项目经理</t>
  </si>
  <si>
    <t xml:space="preserve">项目类型</t>
  </si>
  <si>
    <t xml:space="preserve">项目阶段</t>
  </si>
  <si>
    <t xml:space="preserve">项目进度</t>
  </si>
  <si>
    <t xml:space="preserve">预估实施成本（元）</t>
  </si>
  <si>
    <t xml:space="preserve">累计投入工作量（人月）</t>
  </si>
  <si>
    <t xml:space="preserve">DZ2307G230</t>
  </si>
  <si>
    <t xml:space="preserve">基层数据服务专区</t>
  </si>
  <si>
    <t xml:space="preserve">合同项目</t>
  </si>
  <si>
    <t xml:space="preserve">数智业务中心</t>
  </si>
  <si>
    <t xml:space="preserve">朱振宁</t>
  </si>
  <si>
    <t xml:space="preserve">大数据技术部</t>
  </si>
  <si>
    <t xml:space="preserve">黄普</t>
  </si>
  <si>
    <t xml:space="preserve">开发建设</t>
  </si>
  <si>
    <t xml:space="preserve">验收</t>
  </si>
  <si>
    <t xml:space="preserve">DZ2107G284</t>
  </si>
  <si>
    <t xml:space="preserve">河北电力数据运营中心</t>
  </si>
  <si>
    <t xml:space="preserve">待归档</t>
  </si>
  <si>
    <t xml:space="preserve">DZ1811Q210</t>
  </si>
  <si>
    <t xml:space="preserve">金林工程</t>
  </si>
  <si>
    <t xml:space="preserve">宁波东蓝</t>
  </si>
  <si>
    <t xml:space="preserve">胡峰</t>
  </si>
  <si>
    <t xml:space="preserve">智能技术一部</t>
  </si>
  <si>
    <t xml:space="preserve">时颂坤</t>
  </si>
  <si>
    <t xml:space="preserve">运维</t>
  </si>
  <si>
    <t xml:space="preserve">DZ2303G100</t>
  </si>
  <si>
    <r>
      <rPr>
        <sz val="10"/>
        <rFont val="Noto Sans CJK SC"/>
        <family val="2"/>
      </rPr>
      <t xml:space="preserve">宜黄县</t>
    </r>
    <r>
      <rPr>
        <sz val="10"/>
        <rFont val="Arial"/>
        <family val="0"/>
        <charset val="1"/>
      </rPr>
      <t xml:space="preserve">EPC</t>
    </r>
    <r>
      <rPr>
        <sz val="10"/>
        <rFont val="Noto Sans CJK SC"/>
        <family val="2"/>
      </rPr>
      <t xml:space="preserve">总承包智能化项目</t>
    </r>
  </si>
  <si>
    <t xml:space="preserve">徐毅</t>
  </si>
  <si>
    <t xml:space="preserve">挂起</t>
  </si>
  <si>
    <t xml:space="preserve">DZ2310K006</t>
  </si>
  <si>
    <t xml:space="preserve">中大京堂</t>
  </si>
  <si>
    <t xml:space="preserve">内部承接</t>
  </si>
  <si>
    <t xml:space="preserve">合约交付管理中心</t>
  </si>
  <si>
    <t xml:space="preserve">陈斌</t>
  </si>
  <si>
    <t xml:space="preserve">齐芳</t>
  </si>
  <si>
    <t xml:space="preserve">16-c-cy-01</t>
  </si>
  <si>
    <t xml:space="preserve">网络违法犯罪举报网站开发</t>
  </si>
  <si>
    <t xml:space="preserve">常阳</t>
  </si>
  <si>
    <t xml:space="preserve">DZ2012Q179</t>
  </si>
  <si>
    <t xml:space="preserve">吉林省人常委会备案审查项目</t>
  </si>
  <si>
    <t xml:space="preserve">DZ2108G335</t>
  </si>
  <si>
    <t xml:space="preserve">安康智慧人大二期</t>
  </si>
  <si>
    <t xml:space="preserve">数智技术服务中心</t>
  </si>
  <si>
    <t xml:space="preserve">鞠国明</t>
  </si>
  <si>
    <t xml:space="preserve">政务部</t>
  </si>
  <si>
    <t xml:space="preserve">李鹏飞</t>
  </si>
  <si>
    <t xml:space="preserve">DZ2204G130</t>
  </si>
  <si>
    <t xml:space="preserve">平利县人大二期</t>
  </si>
  <si>
    <t xml:space="preserve">DZ2009Q134</t>
  </si>
  <si>
    <t xml:space="preserve">陕西人大履职平台适配</t>
  </si>
  <si>
    <t xml:space="preserve">DZ2011G293</t>
  </si>
  <si>
    <t xml:space="preserve">河南省监狱局信息化建设</t>
  </si>
  <si>
    <t xml:space="preserve">杨振江</t>
  </si>
  <si>
    <t xml:space="preserve">DZ2005G098</t>
  </si>
  <si>
    <t xml:space="preserve">能源互联网二期</t>
  </si>
  <si>
    <t xml:space="preserve">汪良波</t>
  </si>
  <si>
    <t xml:space="preserve">DZ2101G013</t>
  </si>
  <si>
    <t xml:space="preserve">暴雨预测预警</t>
  </si>
  <si>
    <t xml:space="preserve">DZ2107G266</t>
  </si>
  <si>
    <t xml:space="preserve">覆冰实时监测</t>
  </si>
  <si>
    <t xml:space="preserve">DZ2108G326</t>
  </si>
  <si>
    <t xml:space="preserve">台区负荷数据工程（台区负荷二期）</t>
  </si>
  <si>
    <t xml:space="preserve">DZ2306G181</t>
  </si>
  <si>
    <t xml:space="preserve">台区负荷数据修正（台区负荷三期）</t>
  </si>
  <si>
    <t xml:space="preserve">DZ2302G026</t>
  </si>
  <si>
    <t xml:space="preserve">国防科大（运维管控平台）</t>
  </si>
  <si>
    <t xml:space="preserve">可甜</t>
  </si>
  <si>
    <t xml:space="preserve">人力服务</t>
  </si>
  <si>
    <t xml:space="preserve">23-A-NBYY-WCL-05</t>
  </si>
  <si>
    <t xml:space="preserve">道路险情自动识别项目</t>
  </si>
  <si>
    <t xml:space="preserve">叶忠波</t>
  </si>
  <si>
    <t xml:space="preserve">智能技术二部</t>
  </si>
  <si>
    <t xml:space="preserve">江旭斌</t>
  </si>
  <si>
    <t xml:space="preserve">质保</t>
  </si>
  <si>
    <t xml:space="preserve">DZ2312W048</t>
  </si>
  <si>
    <r>
      <rPr>
        <sz val="10"/>
        <rFont val="Arial"/>
        <family val="0"/>
        <charset val="1"/>
      </rPr>
      <t xml:space="preserve">2024</t>
    </r>
    <r>
      <rPr>
        <sz val="10"/>
        <rFont val="Noto Sans CJK SC"/>
        <family val="2"/>
      </rPr>
      <t xml:space="preserve">年长春市人代会服务保障</t>
    </r>
  </si>
  <si>
    <t xml:space="preserve">李纪超</t>
  </si>
  <si>
    <t xml:space="preserve">运维运营</t>
  </si>
  <si>
    <t xml:space="preserve">ZZ2310W001</t>
  </si>
  <si>
    <t xml:space="preserve">湖北省人大电子阅文</t>
  </si>
  <si>
    <t xml:space="preserve">ZZ2306G004</t>
  </si>
  <si>
    <t xml:space="preserve">省人大阅文系统改造接入“山东通”项目</t>
  </si>
  <si>
    <t xml:space="preserve">DZ1905G130</t>
  </si>
  <si>
    <t xml:space="preserve">青海省人大常委会会议厅改造项目</t>
  </si>
  <si>
    <t xml:space="preserve">智能会议中心</t>
  </si>
  <si>
    <t xml:space="preserve">DZ2302G035</t>
  </si>
  <si>
    <t xml:space="preserve">陕西人大会议系统改造</t>
  </si>
  <si>
    <t xml:space="preserve">DZ2105G169</t>
  </si>
  <si>
    <t xml:space="preserve">广发证券“证券事务与集团管控系统”持续性建设项目</t>
  </si>
  <si>
    <t xml:space="preserve">刘强</t>
  </si>
  <si>
    <t xml:space="preserve">DZ2108G334</t>
  </si>
  <si>
    <r>
      <rPr>
        <sz val="10"/>
        <rFont val="Noto Sans CJK SC"/>
        <family val="2"/>
      </rPr>
      <t xml:space="preserve">广州人社信息中心</t>
    </r>
    <r>
      <rPr>
        <sz val="10"/>
        <rFont val="Arial"/>
        <family val="0"/>
        <charset val="1"/>
      </rPr>
      <t xml:space="preserve">2021</t>
    </r>
    <r>
      <rPr>
        <sz val="10"/>
        <rFont val="Noto Sans CJK SC"/>
        <family val="2"/>
      </rPr>
      <t xml:space="preserve">年信息系统升级项目</t>
    </r>
  </si>
  <si>
    <t xml:space="preserve">归档</t>
  </si>
  <si>
    <t xml:space="preserve">DZ2210G432</t>
  </si>
  <si>
    <t xml:space="preserve">广发证券金融事务信创管控平台</t>
  </si>
  <si>
    <t xml:space="preserve">DZ2301G021</t>
  </si>
  <si>
    <t xml:space="preserve">航天员训练系统</t>
  </si>
  <si>
    <t xml:space="preserve">创新技术部</t>
  </si>
  <si>
    <t xml:space="preserve">张维</t>
  </si>
  <si>
    <t xml:space="preserve">DZ2008G196</t>
  </si>
  <si>
    <t xml:space="preserve">粮油信息超市</t>
  </si>
  <si>
    <t xml:space="preserve">DZ2108G340</t>
  </si>
  <si>
    <t xml:space="preserve">粮油信息超市二期</t>
  </si>
  <si>
    <t xml:space="preserve">DZ2108G341</t>
  </si>
  <si>
    <t xml:space="preserve">粮油信息超市预测模型</t>
  </si>
  <si>
    <t xml:space="preserve">DZ2206G232</t>
  </si>
  <si>
    <t xml:space="preserve">中信大厦会议改造项目</t>
  </si>
  <si>
    <t xml:space="preserve">智能会议业务中心</t>
  </si>
  <si>
    <t xml:space="preserve">贾红阳</t>
  </si>
  <si>
    <t xml:space="preserve">智能物联网部</t>
  </si>
  <si>
    <t xml:space="preserve">张羽</t>
  </si>
  <si>
    <t xml:space="preserve">DZ2206G235</t>
  </si>
  <si>
    <t xml:space="preserve">泰康会议项目</t>
  </si>
  <si>
    <t xml:space="preserve">GLFY00001</t>
  </si>
  <si>
    <t xml:space="preserve">内控系统</t>
  </si>
  <si>
    <t xml:space="preserve">DZ1911Q165</t>
  </si>
  <si>
    <t xml:space="preserve">西藏自治区投资数据综合管理服务平台项目</t>
  </si>
  <si>
    <t xml:space="preserve">柏垚君</t>
  </si>
  <si>
    <t xml:space="preserve">DZ2201G031</t>
  </si>
  <si>
    <t xml:space="preserve">西藏发改委信用二期</t>
  </si>
  <si>
    <t xml:space="preserve">DZ2307G224</t>
  </si>
  <si>
    <t xml:space="preserve">西藏智慧发改</t>
  </si>
  <si>
    <t xml:space="preserve">预投项目</t>
  </si>
  <si>
    <t xml:space="preserve">开发</t>
  </si>
  <si>
    <t xml:space="preserve">DZ2206G256</t>
  </si>
  <si>
    <t xml:space="preserve">国电投会议改造项目</t>
  </si>
  <si>
    <t xml:space="preserve">DZ2111G442</t>
  </si>
  <si>
    <t xml:space="preserve">广发证券“干部测评系统”持续性建设项目</t>
  </si>
  <si>
    <t xml:space="preserve">DZ2109G379</t>
  </si>
  <si>
    <t xml:space="preserve">广发证券私有云软件采购项目</t>
  </si>
  <si>
    <t xml:space="preserve">DZ1907Q084</t>
  </si>
  <si>
    <t xml:space="preserve">某兵团数据库项目</t>
  </si>
  <si>
    <t xml:space="preserve">DZ2309G299</t>
  </si>
  <si>
    <t xml:space="preserve">广发证券绩效奖励整合项目</t>
  </si>
  <si>
    <t xml:space="preserve">DZ2312K012</t>
  </si>
  <si>
    <r>
      <rPr>
        <sz val="10"/>
        <rFont val="Noto Sans CJK SC"/>
        <family val="2"/>
      </rPr>
      <t xml:space="preserve">小飞智会</t>
    </r>
    <r>
      <rPr>
        <sz val="10"/>
        <rFont val="Arial"/>
        <family val="0"/>
        <charset val="1"/>
      </rPr>
      <t xml:space="preserve">2.0</t>
    </r>
  </si>
  <si>
    <t xml:space="preserve">人工智能研究院</t>
  </si>
  <si>
    <t xml:space="preserve">DZ2308X007</t>
  </si>
  <si>
    <t xml:space="preserve">辽宁人大会议管理</t>
  </si>
  <si>
    <t xml:space="preserve">ZZ2310G007</t>
  </si>
  <si>
    <t xml:space="preserve">湖北省人大一体化平台项目</t>
  </si>
  <si>
    <t xml:space="preserve">DZ1912G397</t>
  </si>
  <si>
    <t xml:space="preserve">清大标准供水智能服务云系统建设项目</t>
  </si>
  <si>
    <t xml:space="preserve">KJ2503K001</t>
  </si>
  <si>
    <r>
      <rPr>
        <sz val="10"/>
        <rFont val="Noto Sans CJK SC"/>
        <family val="2"/>
      </rPr>
      <t xml:space="preserve">人大会议软件</t>
    </r>
    <r>
      <rPr>
        <sz val="10"/>
        <rFont val="Arial"/>
        <family val="0"/>
        <charset val="1"/>
      </rPr>
      <t xml:space="preserve">v7.0</t>
    </r>
  </si>
  <si>
    <t xml:space="preserve">内部产品</t>
  </si>
  <si>
    <t xml:space="preserve">解决方案部售前</t>
  </si>
  <si>
    <t xml:space="preserve">王玥</t>
  </si>
  <si>
    <t xml:space="preserve">解决方案部</t>
  </si>
  <si>
    <t xml:space="preserve">无</t>
  </si>
  <si>
    <t xml:space="preserve">DZ2406G128</t>
  </si>
  <si>
    <t xml:space="preserve">广西洪涝预测项目二期</t>
  </si>
  <si>
    <t xml:space="preserve">质保期</t>
  </si>
  <si>
    <t xml:space="preserve">DZ2408G156</t>
  </si>
  <si>
    <r>
      <rPr>
        <sz val="10"/>
        <rFont val="Noto Sans CJK SC"/>
        <family val="2"/>
      </rPr>
      <t xml:space="preserve">西藏信用运维（</t>
    </r>
    <r>
      <rPr>
        <sz val="10"/>
        <rFont val="Arial"/>
        <family val="0"/>
        <charset val="1"/>
      </rPr>
      <t xml:space="preserve">2024</t>
    </r>
    <r>
      <rPr>
        <sz val="10"/>
        <rFont val="Noto Sans CJK SC"/>
        <family val="2"/>
      </rPr>
      <t xml:space="preserve">年）</t>
    </r>
  </si>
  <si>
    <t xml:space="preserve">DZ2402Q004</t>
  </si>
  <si>
    <r>
      <rPr>
        <sz val="10"/>
        <rFont val="Noto Sans CJK SC"/>
        <family val="2"/>
      </rPr>
      <t xml:space="preserve">海曙数字公路运维项目</t>
    </r>
    <r>
      <rPr>
        <sz val="10"/>
        <rFont val="Arial"/>
        <family val="0"/>
        <charset val="1"/>
      </rPr>
      <t xml:space="preserve">2024-2027</t>
    </r>
  </si>
  <si>
    <t xml:space="preserve">石虹波</t>
  </si>
  <si>
    <t xml:space="preserve">数智技术服务内部管理专属项目</t>
  </si>
  <si>
    <t xml:space="preserve">LS_004</t>
  </si>
  <si>
    <r>
      <rPr>
        <sz val="10"/>
        <rFont val="Noto Sans CJK SC"/>
        <family val="2"/>
      </rPr>
      <t xml:space="preserve">会议系统</t>
    </r>
    <r>
      <rPr>
        <sz val="10"/>
        <rFont val="Arial"/>
        <family val="0"/>
        <charset val="1"/>
      </rPr>
      <t xml:space="preserve">5.0</t>
    </r>
    <r>
      <rPr>
        <sz val="10"/>
        <rFont val="Noto Sans CJK SC"/>
        <family val="2"/>
      </rPr>
      <t xml:space="preserve">开发项目</t>
    </r>
  </si>
  <si>
    <t xml:space="preserve">LS_005</t>
  </si>
  <si>
    <r>
      <rPr>
        <sz val="10"/>
        <rFont val="Noto Sans CJK SC"/>
        <family val="2"/>
      </rPr>
      <t xml:space="preserve">天云内控</t>
    </r>
    <r>
      <rPr>
        <sz val="10"/>
        <rFont val="Arial"/>
        <family val="0"/>
        <charset val="1"/>
      </rPr>
      <t xml:space="preserve">SAAS</t>
    </r>
    <r>
      <rPr>
        <sz val="10"/>
        <rFont val="Noto Sans CJK SC"/>
        <family val="2"/>
      </rPr>
      <t xml:space="preserve">开发项目</t>
    </r>
  </si>
  <si>
    <t xml:space="preserve">天云动力</t>
  </si>
  <si>
    <t xml:space="preserve">LSY2407K01</t>
  </si>
  <si>
    <r>
      <rPr>
        <sz val="10"/>
        <rFont val="Noto Sans CJK SC"/>
        <family val="2"/>
      </rPr>
      <t xml:space="preserve">丽水</t>
    </r>
    <r>
      <rPr>
        <sz val="10"/>
        <rFont val="Arial"/>
        <family val="0"/>
        <charset val="1"/>
      </rPr>
      <t xml:space="preserve">IDC</t>
    </r>
    <r>
      <rPr>
        <sz val="10"/>
        <rFont val="Noto Sans CJK SC"/>
        <family val="2"/>
      </rPr>
      <t xml:space="preserve">机房动环监测系统</t>
    </r>
  </si>
  <si>
    <t xml:space="preserve">上线</t>
  </si>
  <si>
    <t xml:space="preserve">DZ2405G111</t>
  </si>
  <si>
    <r>
      <rPr>
        <sz val="10"/>
        <rFont val="Arial"/>
        <family val="0"/>
        <charset val="1"/>
      </rPr>
      <t xml:space="preserve">hj</t>
    </r>
    <r>
      <rPr>
        <sz val="10"/>
        <rFont val="Noto Sans CJK SC"/>
        <family val="2"/>
      </rPr>
      <t xml:space="preserve">数据治理</t>
    </r>
    <r>
      <rPr>
        <sz val="10"/>
        <rFont val="Arial"/>
        <family val="0"/>
        <charset val="1"/>
      </rPr>
      <t xml:space="preserve">1000</t>
    </r>
    <r>
      <rPr>
        <sz val="10"/>
        <rFont val="Noto Sans CJK SC"/>
        <family val="2"/>
      </rPr>
      <t xml:space="preserve">项目</t>
    </r>
  </si>
  <si>
    <t xml:space="preserve">张树</t>
  </si>
  <si>
    <t xml:space="preserve">连荣光</t>
  </si>
  <si>
    <t xml:space="preserve">DZ2404G074</t>
  </si>
  <si>
    <r>
      <rPr>
        <sz val="10"/>
        <rFont val="Noto Sans CJK SC"/>
        <family val="2"/>
      </rPr>
      <t xml:space="preserve">北京市社保卡</t>
    </r>
    <r>
      <rPr>
        <sz val="10"/>
        <rFont val="Arial"/>
        <family val="0"/>
        <charset val="1"/>
      </rPr>
      <t xml:space="preserve">24-25</t>
    </r>
    <r>
      <rPr>
        <sz val="10"/>
        <rFont val="Noto Sans CJK SC"/>
        <family val="2"/>
      </rPr>
      <t xml:space="preserve">年运维项目</t>
    </r>
  </si>
  <si>
    <t xml:space="preserve">数字城市业务中心</t>
  </si>
  <si>
    <t xml:space="preserve">DZ2409G181</t>
  </si>
  <si>
    <t xml:space="preserve">象屿集团数据资产管理项目</t>
  </si>
  <si>
    <t xml:space="preserve">KJ2409G009</t>
  </si>
  <si>
    <r>
      <rPr>
        <sz val="10"/>
        <rFont val="Noto Sans CJK SC"/>
        <family val="2"/>
      </rPr>
      <t xml:space="preserve">集智</t>
    </r>
    <r>
      <rPr>
        <sz val="10"/>
        <rFont val="Arial"/>
        <family val="0"/>
        <charset val="1"/>
      </rPr>
      <t xml:space="preserve">AI</t>
    </r>
    <r>
      <rPr>
        <sz val="10"/>
        <rFont val="Noto Sans CJK SC"/>
        <family val="2"/>
      </rPr>
      <t xml:space="preserve">平台一期</t>
    </r>
  </si>
  <si>
    <t xml:space="preserve">DZ2409G191</t>
  </si>
  <si>
    <t xml:space="preserve">极端温度中长期变化模拟器物资采购</t>
  </si>
  <si>
    <t xml:space="preserve">DZ2409W050</t>
  </si>
  <si>
    <r>
      <rPr>
        <sz val="10"/>
        <rFont val="Arial"/>
        <family val="0"/>
        <charset val="1"/>
      </rPr>
      <t xml:space="preserve">yq</t>
    </r>
    <r>
      <rPr>
        <sz val="10"/>
        <rFont val="Noto Sans CJK SC"/>
        <family val="2"/>
      </rPr>
      <t xml:space="preserve">报告系统（</t>
    </r>
    <r>
      <rPr>
        <sz val="10"/>
        <rFont val="Arial"/>
        <family val="0"/>
        <charset val="1"/>
      </rPr>
      <t xml:space="preserve">2024</t>
    </r>
    <r>
      <rPr>
        <sz val="10"/>
        <rFont val="Noto Sans CJK SC"/>
        <family val="2"/>
      </rPr>
      <t xml:space="preserve">年度）运行维护项目</t>
    </r>
  </si>
  <si>
    <t xml:space="preserve">弓健</t>
  </si>
  <si>
    <t xml:space="preserve">LS_007</t>
  </si>
  <si>
    <t xml:space="preserve">陕西宾馆集控改造项目</t>
  </si>
  <si>
    <t xml:space="preserve">启动</t>
  </si>
  <si>
    <t xml:space="preserve">DZ2403G066</t>
  </si>
  <si>
    <r>
      <rPr>
        <sz val="10"/>
        <rFont val="Noto Sans CJK SC"/>
        <family val="2"/>
      </rPr>
      <t xml:space="preserve">“光伏</t>
    </r>
    <r>
      <rPr>
        <sz val="10"/>
        <rFont val="Arial"/>
        <family val="0"/>
        <charset val="1"/>
      </rPr>
      <t xml:space="preserve">+</t>
    </r>
    <r>
      <rPr>
        <sz val="10"/>
        <rFont val="Noto Sans CJK SC"/>
        <family val="2"/>
      </rPr>
      <t xml:space="preserve">储能</t>
    </r>
    <r>
      <rPr>
        <sz val="10"/>
        <rFont val="Arial"/>
        <family val="0"/>
        <charset val="1"/>
      </rPr>
      <t xml:space="preserve">+</t>
    </r>
    <r>
      <rPr>
        <sz val="10"/>
        <rFont val="Noto Sans CJK SC"/>
        <family val="2"/>
      </rPr>
      <t xml:space="preserve">电采暖”多元互动应用平台</t>
    </r>
  </si>
  <si>
    <t xml:space="preserve">智慧能源研究院</t>
  </si>
  <si>
    <t xml:space="preserve">DZ2501K001</t>
  </si>
  <si>
    <t xml:space="preserve">利智方</t>
  </si>
  <si>
    <t xml:space="preserve">保会工作支撑</t>
  </si>
  <si>
    <t xml:space="preserve">/</t>
  </si>
  <si>
    <t xml:space="preserve">25-C-MBJ-01</t>
  </si>
  <si>
    <r>
      <rPr>
        <sz val="10"/>
        <rFont val="Arial"/>
        <family val="0"/>
        <charset val="1"/>
      </rPr>
      <t xml:space="preserve">2025</t>
    </r>
    <r>
      <rPr>
        <sz val="10"/>
        <rFont val="Noto Sans CJK SC"/>
        <family val="2"/>
      </rPr>
      <t xml:space="preserve">年全国执业药师注册管理信息系统运维</t>
    </r>
  </si>
  <si>
    <t xml:space="preserve">马宝金</t>
  </si>
  <si>
    <t xml:space="preserve">DZ2503W014</t>
  </si>
  <si>
    <r>
      <rPr>
        <sz val="10"/>
        <rFont val="Noto Sans CJK SC"/>
        <family val="2"/>
      </rPr>
      <t xml:space="preserve">公安政治工作信息系统（</t>
    </r>
    <r>
      <rPr>
        <sz val="10"/>
        <rFont val="Arial"/>
        <family val="0"/>
        <charset val="1"/>
      </rPr>
      <t xml:space="preserve">2025</t>
    </r>
    <r>
      <rPr>
        <sz val="10"/>
        <rFont val="Noto Sans CJK SC"/>
        <family val="2"/>
      </rPr>
      <t xml:space="preserve">年度）运维项目</t>
    </r>
  </si>
  <si>
    <t xml:space="preserve">ZZ2111G002</t>
  </si>
  <si>
    <r>
      <rPr>
        <sz val="10"/>
        <rFont val="Arial"/>
        <family val="0"/>
        <charset val="1"/>
      </rPr>
      <t xml:space="preserve">2021</t>
    </r>
    <r>
      <rPr>
        <sz val="10"/>
        <rFont val="Noto Sans CJK SC"/>
        <family val="2"/>
      </rPr>
      <t xml:space="preserve">陕西省省直部门电子政务外网软件工程应用系统项目</t>
    </r>
  </si>
  <si>
    <t xml:space="preserve">DZ2406G132</t>
  </si>
  <si>
    <t xml:space="preserve">声闻盾</t>
  </si>
  <si>
    <t xml:space="preserve">国信利信</t>
  </si>
  <si>
    <t xml:space="preserve">代珊</t>
  </si>
  <si>
    <t xml:space="preserve">Z2308G291</t>
  </si>
  <si>
    <r>
      <rPr>
        <sz val="10"/>
        <rFont val="Noto Sans CJK SC"/>
        <family val="2"/>
      </rPr>
      <t xml:space="preserve">南京地铁</t>
    </r>
    <r>
      <rPr>
        <sz val="10"/>
        <rFont val="Arial"/>
        <family val="0"/>
        <charset val="1"/>
      </rPr>
      <t xml:space="preserve">10</t>
    </r>
    <r>
      <rPr>
        <sz val="10"/>
        <rFont val="Noto Sans CJK SC"/>
        <family val="2"/>
      </rPr>
      <t xml:space="preserve">号线消防信息数据平台开发项目</t>
    </r>
  </si>
  <si>
    <t xml:space="preserve">上海杰东</t>
  </si>
  <si>
    <t xml:space="preserve">DZ2503G025</t>
  </si>
  <si>
    <r>
      <rPr>
        <sz val="10"/>
        <rFont val="Noto Sans CJK SC"/>
        <family val="2"/>
      </rPr>
      <t xml:space="preserve">昌都市发改委</t>
    </r>
    <r>
      <rPr>
        <sz val="10"/>
        <rFont val="Arial"/>
        <family val="0"/>
        <charset val="1"/>
      </rPr>
      <t xml:space="preserve">OA</t>
    </r>
    <r>
      <rPr>
        <sz val="10"/>
        <rFont val="Noto Sans CJK SC"/>
        <family val="2"/>
      </rPr>
      <t xml:space="preserve">系统建设项目</t>
    </r>
  </si>
  <si>
    <t xml:space="preserve">政企业务部售前</t>
  </si>
  <si>
    <t xml:space="preserve">厦门精图北京中心</t>
  </si>
  <si>
    <t xml:space="preserve">唐青青</t>
  </si>
  <si>
    <t xml:space="preserve">政企业务部</t>
  </si>
  <si>
    <t xml:space="preserve">段龙飞</t>
  </si>
  <si>
    <t xml:space="preserve">军工业务部售前</t>
  </si>
  <si>
    <t xml:space="preserve">李娜</t>
  </si>
  <si>
    <t xml:space="preserve">军工业务部</t>
  </si>
  <si>
    <t xml:space="preserve">陈春海</t>
  </si>
  <si>
    <t xml:space="preserve">DZ2504G047</t>
  </si>
  <si>
    <t xml:space="preserve">三维勘查基础数据共享平台开发</t>
  </si>
  <si>
    <t xml:space="preserve">24-A-NBYY-LL-06</t>
  </si>
  <si>
    <t xml:space="preserve">安徽人大信访运维项目</t>
  </si>
  <si>
    <t xml:space="preserve">LS-010</t>
  </si>
  <si>
    <t xml:space="preserve">丽水干部信息管理系统项目运维</t>
  </si>
  <si>
    <t xml:space="preserve">徐斌</t>
  </si>
  <si>
    <t xml:space="preserve">产品创新部售前</t>
  </si>
  <si>
    <t xml:space="preserve">左杰</t>
  </si>
  <si>
    <t xml:space="preserve">产品创新部</t>
  </si>
  <si>
    <t xml:space="preserve">李怡潇</t>
  </si>
  <si>
    <t xml:space="preserve">DZ2503K005</t>
  </si>
  <si>
    <t xml:space="preserve">小飞数方—管理端</t>
  </si>
  <si>
    <t xml:space="preserve">25-A-NBYY-YZB-01</t>
  </si>
  <si>
    <t xml:space="preserve">舟山盐仓街道民情系统项目</t>
  </si>
  <si>
    <t xml:space="preserve">DZ2507G115</t>
  </si>
  <si>
    <r>
      <rPr>
        <sz val="10"/>
        <rFont val="Noto Sans CJK SC"/>
        <family val="2"/>
      </rPr>
      <t xml:space="preserve">西藏信用运维（</t>
    </r>
    <r>
      <rPr>
        <sz val="10"/>
        <rFont val="Arial"/>
        <family val="0"/>
        <charset val="1"/>
      </rPr>
      <t xml:space="preserve">2025</t>
    </r>
    <r>
      <rPr>
        <sz val="10"/>
        <rFont val="Noto Sans CJK SC"/>
        <family val="2"/>
      </rPr>
      <t xml:space="preserve">）</t>
    </r>
  </si>
  <si>
    <t xml:space="preserve">DZ2506G082</t>
  </si>
  <si>
    <t xml:space="preserve">大庆油田田储备库工程</t>
  </si>
  <si>
    <t xml:space="preserve">数智城市业务中心</t>
  </si>
  <si>
    <t xml:space="preserve">袁金辉</t>
  </si>
  <si>
    <t xml:space="preserve">侯世龙</t>
  </si>
  <si>
    <t xml:space="preserve">DZ2505W025</t>
  </si>
  <si>
    <r>
      <rPr>
        <sz val="10"/>
        <rFont val="Noto Sans CJK SC"/>
        <family val="2"/>
      </rPr>
      <t xml:space="preserve">青海省人大运维服务保障项目</t>
    </r>
    <r>
      <rPr>
        <sz val="10"/>
        <rFont val="Arial"/>
        <family val="0"/>
        <charset val="1"/>
      </rPr>
      <t xml:space="preserve">(2025</t>
    </r>
    <r>
      <rPr>
        <sz val="10"/>
        <rFont val="Noto Sans CJK SC"/>
        <family val="2"/>
      </rPr>
      <t xml:space="preserve">年</t>
    </r>
    <r>
      <rPr>
        <sz val="10"/>
        <rFont val="Arial"/>
        <family val="0"/>
        <charset val="1"/>
      </rPr>
      <t xml:space="preserve">)</t>
    </r>
  </si>
  <si>
    <t xml:space="preserve">DZ2505G051</t>
  </si>
  <si>
    <r>
      <rPr>
        <sz val="10"/>
        <rFont val="Noto Sans CJK SC"/>
        <family val="2"/>
      </rPr>
      <t xml:space="preserve">北京市社保卡</t>
    </r>
    <r>
      <rPr>
        <sz val="10"/>
        <rFont val="Arial"/>
        <family val="0"/>
        <charset val="1"/>
      </rPr>
      <t xml:space="preserve">25-26</t>
    </r>
    <r>
      <rPr>
        <sz val="10"/>
        <rFont val="Noto Sans CJK SC"/>
        <family val="2"/>
      </rPr>
      <t xml:space="preserve">年运维项目</t>
    </r>
  </si>
  <si>
    <t xml:space="preserve">25-A-NBYY-YZB-02</t>
  </si>
  <si>
    <t xml:space="preserve">遂昌干部升级改造项目</t>
  </si>
  <si>
    <t xml:space="preserve">DZ2508G133</t>
  </si>
  <si>
    <t xml:space="preserve">中电建数据管理项目</t>
  </si>
  <si>
    <t xml:space="preserve">姜雯</t>
  </si>
  <si>
    <t xml:space="preserve">DZ2505W027</t>
  </si>
  <si>
    <r>
      <rPr>
        <sz val="10"/>
        <rFont val="Arial"/>
        <family val="0"/>
        <charset val="1"/>
      </rPr>
      <t xml:space="preserve">yq</t>
    </r>
    <r>
      <rPr>
        <sz val="10"/>
        <rFont val="Noto Sans CJK SC"/>
        <family val="2"/>
      </rPr>
      <t xml:space="preserve">报告系统（</t>
    </r>
    <r>
      <rPr>
        <sz val="10"/>
        <rFont val="Arial"/>
        <family val="0"/>
        <charset val="1"/>
      </rPr>
      <t xml:space="preserve">2025</t>
    </r>
    <r>
      <rPr>
        <sz val="10"/>
        <rFont val="Noto Sans CJK SC"/>
        <family val="2"/>
      </rPr>
      <t xml:space="preserve">年度）运行维护项目</t>
    </r>
  </si>
  <si>
    <t xml:space="preserve">DZ2508W048</t>
  </si>
  <si>
    <r>
      <rPr>
        <sz val="10"/>
        <rFont val="Noto Sans CJK SC"/>
        <family val="2"/>
      </rPr>
      <t xml:space="preserve">北京市人大信访信息系统运维（</t>
    </r>
    <r>
      <rPr>
        <sz val="10"/>
        <rFont val="Arial"/>
        <family val="0"/>
        <charset val="1"/>
      </rPr>
      <t xml:space="preserve">2025</t>
    </r>
    <r>
      <rPr>
        <sz val="10"/>
        <rFont val="Noto Sans CJK SC"/>
        <family val="2"/>
      </rPr>
      <t xml:space="preserve">年度）项目</t>
    </r>
  </si>
  <si>
    <t xml:space="preserve">DZ2411G230</t>
  </si>
  <si>
    <t xml:space="preserve">基于新能源环境的跨域协同机器人巡检与风机叶片声纹故障识别技术研究项目</t>
  </si>
  <si>
    <t xml:space="preserve">DZ1903K001</t>
  </si>
  <si>
    <t xml:space="preserve">吉林市代表履职建设项目</t>
  </si>
  <si>
    <t xml:space="preserve">DZ2512K004</t>
  </si>
  <si>
    <t xml:space="preserve">音视频官网</t>
  </si>
  <si>
    <r>
      <rPr>
        <sz val="10"/>
        <rFont val="Arial"/>
        <family val="0"/>
        <charset val="1"/>
      </rPr>
      <t xml:space="preserve">AI</t>
    </r>
    <r>
      <rPr>
        <sz val="10"/>
        <rFont val="Noto Sans CJK SC"/>
        <family val="2"/>
      </rPr>
      <t xml:space="preserve">视听产品开发中心</t>
    </r>
  </si>
  <si>
    <t xml:space="preserve">DZ2512G217</t>
  </si>
  <si>
    <t xml:space="preserve">西藏信用运营项目</t>
  </si>
  <si>
    <t xml:space="preserve">DZ2512G218</t>
  </si>
  <si>
    <r>
      <rPr>
        <sz val="10"/>
        <rFont val="Noto Sans CJK SC"/>
        <family val="2"/>
      </rPr>
      <t xml:space="preserve">西藏信息化运维</t>
    </r>
    <r>
      <rPr>
        <sz val="10"/>
        <rFont val="Arial"/>
        <family val="0"/>
        <charset val="1"/>
      </rPr>
      <t xml:space="preserve">2026</t>
    </r>
    <r>
      <rPr>
        <sz val="10"/>
        <rFont val="Noto Sans CJK SC"/>
        <family val="2"/>
      </rPr>
      <t xml:space="preserve">项目</t>
    </r>
  </si>
  <si>
    <t xml:space="preserve">DZ2601G012</t>
  </si>
  <si>
    <t xml:space="preserve">招投标软件产品开发</t>
  </si>
  <si>
    <t xml:space="preserve">程华建</t>
  </si>
  <si>
    <t xml:space="preserve">DZ2512G213</t>
  </si>
  <si>
    <r>
      <rPr>
        <sz val="10"/>
        <rFont val="Arial"/>
        <family val="0"/>
        <charset val="1"/>
      </rPr>
      <t xml:space="preserve">GD</t>
    </r>
    <r>
      <rPr>
        <sz val="10"/>
        <rFont val="Noto Sans CJK SC"/>
        <family val="2"/>
      </rPr>
      <t xml:space="preserve">智能体构建</t>
    </r>
  </si>
  <si>
    <t xml:space="preserve">张克新</t>
  </si>
  <si>
    <t xml:space="preserve">26-C-MBJ-01</t>
  </si>
  <si>
    <r>
      <rPr>
        <sz val="10"/>
        <rFont val="Arial"/>
        <family val="0"/>
        <charset val="1"/>
      </rPr>
      <t xml:space="preserve">2026</t>
    </r>
    <r>
      <rPr>
        <sz val="10"/>
        <rFont val="Noto Sans CJK SC"/>
        <family val="2"/>
      </rPr>
      <t xml:space="preserve">年全国执业药师注册管理信息系统运维</t>
    </r>
  </si>
  <si>
    <t xml:space="preserve">FX2512J004</t>
  </si>
  <si>
    <t xml:space="preserve">某网格技术示范应用项目</t>
  </si>
  <si>
    <t xml:space="preserve">智能部</t>
  </si>
  <si>
    <t xml:space="preserve">大数据部售前</t>
  </si>
  <si>
    <t xml:space="preserve">大数据部</t>
  </si>
  <si>
    <t xml:space="preserve">按合同签订状态分析</t>
  </si>
  <si>
    <t xml:space="preserve">项目数量</t>
  </si>
  <si>
    <t xml:space="preserve">合同金额合计（元）</t>
  </si>
  <si>
    <t xml:space="preserve">已回款金额合计（元）</t>
  </si>
  <si>
    <t xml:space="preserve">回款率</t>
  </si>
  <si>
    <t xml:space="preserve">预估实施成本合计（元）</t>
  </si>
  <si>
    <t xml:space="preserve">预估利润合计（元）</t>
  </si>
  <si>
    <t xml:space="preserve">累计投入工作量合计（人月）</t>
  </si>
  <si>
    <t xml:space="preserve">平均项目进度</t>
  </si>
  <si>
    <t xml:space="preserve">合计</t>
  </si>
  <si>
    <t xml:space="preserve">按所属部门分析</t>
  </si>
  <si>
    <t xml:space="preserve">按项目阶段分析</t>
  </si>
  <si>
    <t xml:space="preserve">按项目类型分析</t>
  </si>
  <si>
    <r>
      <rPr>
        <b val="true"/>
        <sz val="14"/>
        <color rgb="FF1F2937"/>
        <rFont val="Noto Sans CJK SC"/>
        <family val="2"/>
      </rPr>
      <t xml:space="preserve">合同金额排名</t>
    </r>
    <r>
      <rPr>
        <b val="true"/>
        <sz val="14"/>
        <color rgb="FF1F2937"/>
        <rFont val="Arial"/>
        <family val="0"/>
        <charset val="1"/>
      </rPr>
      <t xml:space="preserve">TOP10</t>
    </r>
    <r>
      <rPr>
        <b val="true"/>
        <sz val="14"/>
        <color rgb="FF1F2937"/>
        <rFont val="Noto Sans CJK SC"/>
        <family val="2"/>
      </rPr>
      <t xml:space="preserve">项目</t>
    </r>
  </si>
  <si>
    <t xml:space="preserve">排名</t>
  </si>
  <si>
    <t xml:space="preserve">回款情况分析</t>
  </si>
  <si>
    <t xml:space="preserve">一、回款率分布</t>
  </si>
  <si>
    <t xml:space="preserve">回款区间</t>
  </si>
  <si>
    <r>
      <rPr>
        <sz val="10"/>
        <rFont val="Arial"/>
        <family val="0"/>
        <charset val="1"/>
      </rPr>
      <t xml:space="preserve">100%</t>
    </r>
    <r>
      <rPr>
        <sz val="10"/>
        <rFont val="Noto Sans CJK SC"/>
        <family val="2"/>
      </rPr>
      <t xml:space="preserve">（已全额回款）</t>
    </r>
  </si>
  <si>
    <t xml:space="preserve">80%~100%</t>
  </si>
  <si>
    <t xml:space="preserve">50%~80%</t>
  </si>
  <si>
    <t xml:space="preserve">10%~50%</t>
  </si>
  <si>
    <t xml:space="preserve">0%~10%</t>
  </si>
  <si>
    <r>
      <rPr>
        <sz val="10"/>
        <rFont val="Arial"/>
        <family val="0"/>
        <charset val="1"/>
      </rPr>
      <t xml:space="preserve">0%</t>
    </r>
    <r>
      <rPr>
        <sz val="10"/>
        <rFont val="Noto Sans CJK SC"/>
        <family val="2"/>
      </rPr>
      <t xml:space="preserve">（未回款）</t>
    </r>
  </si>
  <si>
    <r>
      <rPr>
        <b val="true"/>
        <sz val="12"/>
        <color rgb="FF374151"/>
        <rFont val="Noto Sans CJK SC"/>
        <family val="2"/>
      </rPr>
      <t xml:space="preserve">二、未回款项目清单（合同金额</t>
    </r>
    <r>
      <rPr>
        <b val="true"/>
        <sz val="12"/>
        <color rgb="FF374151"/>
        <rFont val="Arial"/>
        <family val="0"/>
        <charset val="1"/>
      </rPr>
      <t xml:space="preserve">&gt;0</t>
    </r>
    <r>
      <rPr>
        <b val="true"/>
        <sz val="12"/>
        <color rgb="FF374151"/>
        <rFont val="Noto Sans CJK SC"/>
        <family val="2"/>
      </rPr>
      <t xml:space="preserve">且回款率</t>
    </r>
    <r>
      <rPr>
        <b val="true"/>
        <sz val="12"/>
        <color rgb="FF374151"/>
        <rFont val="Arial"/>
        <family val="0"/>
        <charset val="1"/>
      </rPr>
      <t xml:space="preserve">=0</t>
    </r>
    <r>
      <rPr>
        <b val="true"/>
        <sz val="12"/>
        <color rgb="FF374151"/>
        <rFont val="Noto Sans CJK SC"/>
        <family val="2"/>
      </rPr>
      <t xml:space="preserve">）</t>
    </r>
  </si>
  <si>
    <r>
      <rPr>
        <b val="true"/>
        <sz val="12"/>
        <color rgb="FF374151"/>
        <rFont val="Noto Sans CJK SC"/>
        <family val="2"/>
      </rPr>
      <t xml:space="preserve">三、高回款率项目（回款率≥</t>
    </r>
    <r>
      <rPr>
        <b val="true"/>
        <sz val="12"/>
        <color rgb="FF374151"/>
        <rFont val="Arial"/>
        <family val="0"/>
        <charset val="1"/>
      </rPr>
      <t xml:space="preserve">90%</t>
    </r>
    <r>
      <rPr>
        <b val="true"/>
        <sz val="12"/>
        <color rgb="FF374151"/>
        <rFont val="Noto Sans CJK SC"/>
        <family val="2"/>
      </rPr>
      <t xml:space="preserve">，合同金额</t>
    </r>
    <r>
      <rPr>
        <b val="true"/>
        <sz val="12"/>
        <color rgb="FF374151"/>
        <rFont val="Arial"/>
        <family val="0"/>
        <charset val="1"/>
      </rPr>
      <t xml:space="preserve">&gt;10</t>
    </r>
    <r>
      <rPr>
        <b val="true"/>
        <sz val="12"/>
        <color rgb="FF374151"/>
        <rFont val="Noto Sans CJK SC"/>
        <family val="2"/>
      </rPr>
      <t xml:space="preserve">万）</t>
    </r>
  </si>
  <si>
    <t xml:space="preserve">成本与利润分析</t>
  </si>
  <si>
    <t xml:space="preserve">一、成本使用概览</t>
  </si>
  <si>
    <t xml:space="preserve">指标</t>
  </si>
  <si>
    <t xml:space="preserve">金额（元）</t>
  </si>
  <si>
    <t xml:space="preserve">合同金额合计</t>
  </si>
  <si>
    <t xml:space="preserve">已回款金额合计</t>
  </si>
  <si>
    <t xml:space="preserve">预估实施成本合计</t>
  </si>
  <si>
    <t xml:space="preserve">已发生用人成本合计</t>
  </si>
  <si>
    <t xml:space="preserve">已发生差旅费用合计</t>
  </si>
  <si>
    <t xml:space="preserve">已发生实施成本合计</t>
  </si>
  <si>
    <t xml:space="preserve">实施成本剩余合计</t>
  </si>
  <si>
    <t xml:space="preserve">预估利润合计</t>
  </si>
  <si>
    <r>
      <rPr>
        <b val="true"/>
        <sz val="12"/>
        <color rgb="FF374151"/>
        <rFont val="Noto Sans CJK SC"/>
        <family val="2"/>
      </rPr>
      <t xml:space="preserve">二、项目成本使用率分析（合同金额</t>
    </r>
    <r>
      <rPr>
        <b val="true"/>
        <sz val="12"/>
        <color rgb="FF374151"/>
        <rFont val="Arial"/>
        <family val="0"/>
        <charset val="1"/>
      </rPr>
      <t xml:space="preserve">&gt;0</t>
    </r>
    <r>
      <rPr>
        <b val="true"/>
        <sz val="12"/>
        <color rgb="FF374151"/>
        <rFont val="Noto Sans CJK SC"/>
        <family val="2"/>
      </rPr>
      <t xml:space="preserve">）</t>
    </r>
  </si>
  <si>
    <t xml:space="preserve">已发生实施成本（元）</t>
  </si>
  <si>
    <t xml:space="preserve">成本使用率</t>
  </si>
  <si>
    <t xml:space="preserve">预估利润（元）</t>
  </si>
  <si>
    <t xml:space="preserve">利润率</t>
  </si>
  <si>
    <t xml:space="preserve">人力投入分析</t>
  </si>
  <si>
    <t xml:space="preserve">一、各部门人力投入情况</t>
  </si>
  <si>
    <t xml:space="preserve">已发生用人成本（元）</t>
  </si>
  <si>
    <t xml:space="preserve">人均月成本（元）</t>
  </si>
  <si>
    <r>
      <rPr>
        <b val="true"/>
        <sz val="12"/>
        <color rgb="FF374151"/>
        <rFont val="Noto Sans CJK SC"/>
        <family val="2"/>
      </rPr>
      <t xml:space="preserve">二、人力投入</t>
    </r>
    <r>
      <rPr>
        <b val="true"/>
        <sz val="12"/>
        <color rgb="FF374151"/>
        <rFont val="Arial"/>
        <family val="0"/>
        <charset val="1"/>
      </rPr>
      <t xml:space="preserve">TOP15</t>
    </r>
    <r>
      <rPr>
        <b val="true"/>
        <sz val="12"/>
        <color rgb="FF374151"/>
        <rFont val="Noto Sans CJK SC"/>
        <family val="2"/>
      </rPr>
      <t xml:space="preserve">项目</t>
    </r>
  </si>
  <si>
    <t xml:space="preserve">累计投入（人月）</t>
  </si>
  <si>
    <t xml:space="preserve">截至上月（人月）</t>
  </si>
  <si>
    <t xml:space="preserve">本月投入（人月）</t>
  </si>
  <si>
    <t xml:space="preserve">项目进度概览</t>
  </si>
  <si>
    <t xml:space="preserve">一、项目进度分布</t>
  </si>
  <si>
    <t xml:space="preserve">进度区间</t>
  </si>
  <si>
    <r>
      <rPr>
        <sz val="10"/>
        <rFont val="Arial"/>
        <family val="0"/>
        <charset val="1"/>
      </rPr>
      <t xml:space="preserve">90%~100%</t>
    </r>
    <r>
      <rPr>
        <sz val="10"/>
        <rFont val="Noto Sans CJK SC"/>
        <family val="2"/>
      </rPr>
      <t xml:space="preserve">（接近完成）</t>
    </r>
  </si>
  <si>
    <t xml:space="preserve">70%~90%</t>
  </si>
  <si>
    <t xml:space="preserve">50%~70%</t>
  </si>
  <si>
    <t xml:space="preserve">30%~50%</t>
  </si>
  <si>
    <t xml:space="preserve">10%~30%</t>
  </si>
  <si>
    <t xml:space="preserve">无进度记录</t>
  </si>
  <si>
    <t xml:space="preserve">二、挂起项目清单</t>
  </si>
  <si>
    <t xml:space="preserve">三、开发中项目</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</si>
</sst>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7">
    <font>
      <sz val="11"/>
      <color rgb="FF000000"/>
      <name val="Calibri"/>
      <family val="2"/>
      <charset val="1"/>
    </font>
    <font>
      <sz val="10"/>
      <name val="Arial"/>
      <family val="0"/>
    </font>
    <font>
      <sz val="10"/>
      <name val="Arial"/>
      <family val="0"/>
    </font>
    <font>
      <sz val="10"/>
      <name val="Arial"/>
      <family val="0"/>
    </font>
    <font>
      <b val="true"/>
      <sz val="14"/>
      <color rgb="FF1F2937"/>
      <name val="Noto Sans CJK SC"/>
      <family val="2"/>
    </font>
    <font>
      <sz val="10"/>
      <color rgb="FF6B7280"/>
      <name val="Noto Sans CJK SC"/>
      <family val="2"/>
    </font>
    <font>
      <sz val="10"/>
      <color rgb="FF6B7280"/>
      <name val="Arial"/>
      <family val="0"/>
      <charset val="1"/>
    </font>
    <font>
      <b val="true"/>
      <sz val="11"/>
      <color rgb="FFFFFFFF"/>
      <name val="Noto Sans CJK SC"/>
      <family val="2"/>
    </font>
    <font>
      <b val="true"/>
      <sz val="11"/>
      <color rgb="FFFFFFFF"/>
      <name val="Arial"/>
      <family val="0"/>
      <charset val="1"/>
    </font>
    <font>
      <sz val="10"/>
      <name val="Arial"/>
      <family val="0"/>
      <charset val="1"/>
    </font>
    <font>
      <sz val="10"/>
      <name val="Noto Sans CJK SC"/>
      <family val="2"/>
    </font>
    <font>
      <b val="true"/>
      <sz val="10"/>
      <name val="Noto Sans CJK SC"/>
      <family val="2"/>
    </font>
    <font>
      <b val="true"/>
      <sz val="11"/>
      <color rgb="FF1F2937"/>
      <name val="Arial"/>
      <family val="0"/>
      <charset val="1"/>
    </font>
    <font>
      <b val="true"/>
      <sz val="10"/>
      <name val="Arial"/>
      <family val="0"/>
      <charset val="1"/>
    </font>
    <font>
      <b val="true"/>
      <sz val="14"/>
      <color rgb="FF1F2937"/>
      <name val="Arial"/>
      <family val="0"/>
      <charset val="1"/>
    </font>
    <font>
      <b val="true"/>
      <sz val="12"/>
      <color rgb="FF374151"/>
      <name val="Noto Sans CJK SC"/>
      <family val="2"/>
    </font>
    <font>
      <b val="true"/>
      <sz val="12"/>
      <color rgb="FF374151"/>
      <name val="Arial"/>
      <family val="0"/>
      <charset val="1"/>
    </font>
  </fonts>
  <fills count="7">
    <fill>
      <patternFill patternType="none"/>
    </fill>
    <fill>
      <patternFill patternType="gray125"/>
    </fill>
    <fill>
      <patternFill patternType="solid">
        <fgColor rgb="FF2B3E50"/>
        <bgColor rgb="FF374151"/>
      </patternFill>
    </fill>
    <fill>
      <patternFill patternType="solid">
        <fgColor rgb="FFFFFFFF"/>
        <bgColor rgb="FFF7F9FC"/>
      </patternFill>
    </fill>
    <fill>
      <patternFill patternType="solid">
        <fgColor rgb="FFF7F9FC"/>
        <bgColor rgb="FFF0F4F8"/>
      </patternFill>
    </fill>
    <fill>
      <patternFill patternType="solid">
        <fgColor rgb="FFF0F4F8"/>
        <bgColor rgb="FFEAF2FF"/>
      </patternFill>
    </fill>
    <fill>
      <patternFill patternType="solid">
        <fgColor rgb="FFEAF2FF"/>
        <bgColor rgb="FFF0F4F8"/>
      </patternFill>
    </fill>
  </fills>
  <borders count="3">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 diagonalUp="false" diagonalDown="false">
      <left style="thin">
        <color rgb="FFD9DEE7"/>
      </left>
      <right style="thin">
        <color rgb="FFD9DEE7"/>
      </right>
      <top style="medium">
        <color rgb="FFAAB4C5"/>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left" vertical="center" textRotation="0" wrapText="true" indent="0" shrinkToFit="false"/>
      <protection locked="true" hidden="false"/>
    </xf>
    <xf numFmtId="166" fontId="9" fillId="3" borderId="1" xfId="0" applyFont="true" applyBorder="true" applyAlignment="true" applyProtection="false">
      <alignment horizontal="left" vertical="center" textRotation="0" wrapText="true" indent="0" shrinkToFit="false"/>
      <protection locked="true" hidden="false"/>
    </xf>
    <xf numFmtId="167" fontId="9" fillId="3"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5" fontId="9" fillId="4" borderId="1" xfId="0" applyFont="true" applyBorder="true" applyAlignment="true" applyProtection="false">
      <alignment horizontal="left" vertical="center" textRotation="0" wrapText="true" indent="0" shrinkToFit="false"/>
      <protection locked="true" hidden="false"/>
    </xf>
    <xf numFmtId="166" fontId="9" fillId="4" borderId="1" xfId="0" applyFont="true" applyBorder="true" applyAlignment="true" applyProtection="false">
      <alignment horizontal="left" vertical="center" textRotation="0" wrapText="true" indent="0" shrinkToFit="false"/>
      <protection locked="true" hidden="false"/>
    </xf>
    <xf numFmtId="167" fontId="9" fillId="4" borderId="1"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false" applyProtection="false">
      <alignment horizontal="general" vertical="bottom" textRotation="0" wrapText="false" indent="0" shrinkToFit="false"/>
      <protection locked="true" hidden="false"/>
    </xf>
    <xf numFmtId="165" fontId="12" fillId="6" borderId="2" xfId="0" applyFont="true" applyBorder="true" applyAlignment="false" applyProtection="false">
      <alignment horizontal="general" vertical="bottom" textRotation="0" wrapText="false" indent="0" shrinkToFit="false"/>
      <protection locked="true" hidden="false"/>
    </xf>
    <xf numFmtId="166" fontId="13" fillId="5" borderId="2" xfId="0" applyFont="true" applyBorder="true" applyAlignment="false" applyProtection="false">
      <alignment horizontal="general" vertical="bottom" textRotation="0" wrapText="false" indent="0" shrinkToFit="false"/>
      <protection locked="true" hidden="false"/>
    </xf>
    <xf numFmtId="165" fontId="13" fillId="5" borderId="2" xfId="0" applyFont="true" applyBorder="true" applyAlignment="false" applyProtection="false">
      <alignment horizontal="general" vertical="bottom" textRotation="0" wrapText="false" indent="0" shrinkToFit="false"/>
      <protection locked="true" hidden="false"/>
    </xf>
    <xf numFmtId="167" fontId="13" fillId="5" borderId="2" xfId="0" applyFont="true" applyBorder="true" applyAlignment="fals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left"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B4C5"/>
      <rgbColor rgb="FF808080"/>
      <rgbColor rgb="FF9999FF"/>
      <rgbColor rgb="FF993366"/>
      <rgbColor rgb="FFF7F9FC"/>
      <rgbColor rgb="FFEAF2FF"/>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F0F4F8"/>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74151"/>
      <rgbColor rgb="FF993300"/>
      <rgbColor rgb="FF993366"/>
      <rgbColor rgb="FF2B3E50"/>
      <rgbColor rgb="FF1F293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81"/>
    <col collapsed="false" customWidth="true" hidden="false" outlineLevel="0" max="2" min="2" style="0" width="19.19"/>
    <col collapsed="false" customWidth="true" hidden="false" outlineLevel="0" max="3" min="3" style="0" width="35"/>
    <col collapsed="false" customWidth="true" hidden="false" outlineLevel="0" max="6" min="4" style="0" width="10"/>
    <col collapsed="false" customWidth="true" hidden="false" outlineLevel="0" max="8" min="7" style="0" width="12"/>
    <col collapsed="false" customWidth="true" hidden="false" outlineLevel="0" max="14" min="9" style="0" width="10"/>
    <col collapsed="false" customWidth="true" hidden="false" outlineLevel="0" max="15" min="15" style="0" width="12"/>
    <col collapsed="false" customWidth="true" hidden="false" outlineLevel="0" max="16" min="16" style="0" width="13.2"/>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row>
    <row r="5" customFormat="false" ht="15" hidden="false" customHeight="false" outlineLevel="0" collapsed="false">
      <c r="A5" s="4" t="n">
        <v>93</v>
      </c>
      <c r="B5" s="4" t="s">
        <v>18</v>
      </c>
      <c r="C5" s="5" t="s">
        <v>19</v>
      </c>
      <c r="D5" s="5" t="s">
        <v>20</v>
      </c>
      <c r="E5" s="6" t="n">
        <v>1813950</v>
      </c>
      <c r="F5" s="4" t="n">
        <v>0.97</v>
      </c>
      <c r="G5" s="6" t="n">
        <v>1759530</v>
      </c>
      <c r="H5" s="5" t="s">
        <v>21</v>
      </c>
      <c r="I5" s="5" t="s">
        <v>22</v>
      </c>
      <c r="J5" s="5" t="s">
        <v>23</v>
      </c>
      <c r="K5" s="5" t="s">
        <v>24</v>
      </c>
      <c r="L5" s="5" t="s">
        <v>25</v>
      </c>
      <c r="M5" s="5" t="s">
        <v>26</v>
      </c>
      <c r="N5" s="7" t="n">
        <v>0.99</v>
      </c>
      <c r="O5" s="6" t="n">
        <v>1210000</v>
      </c>
      <c r="P5" s="8" t="n">
        <v>87.05</v>
      </c>
    </row>
    <row r="6" customFormat="false" ht="15" hidden="false" customHeight="false" outlineLevel="0" collapsed="false">
      <c r="A6" s="9" t="n">
        <v>94</v>
      </c>
      <c r="B6" s="9" t="s">
        <v>27</v>
      </c>
      <c r="C6" s="10" t="s">
        <v>28</v>
      </c>
      <c r="D6" s="10" t="s">
        <v>20</v>
      </c>
      <c r="E6" s="11" t="n">
        <v>2320000</v>
      </c>
      <c r="F6" s="9" t="n">
        <v>1</v>
      </c>
      <c r="G6" s="11" t="n">
        <v>2320000</v>
      </c>
      <c r="H6" s="10" t="s">
        <v>21</v>
      </c>
      <c r="I6" s="10" t="s">
        <v>22</v>
      </c>
      <c r="J6" s="10" t="s">
        <v>23</v>
      </c>
      <c r="K6" s="10" t="s">
        <v>24</v>
      </c>
      <c r="L6" s="10" t="s">
        <v>25</v>
      </c>
      <c r="M6" s="10" t="s">
        <v>29</v>
      </c>
      <c r="N6" s="12" t="n">
        <v>0.99</v>
      </c>
      <c r="O6" s="11" t="n">
        <v>979200</v>
      </c>
      <c r="P6" s="13" t="n">
        <v>65.86</v>
      </c>
    </row>
    <row r="7" customFormat="false" ht="15" hidden="false" customHeight="false" outlineLevel="0" collapsed="false">
      <c r="A7" s="4" t="n">
        <v>96</v>
      </c>
      <c r="B7" s="4" t="s">
        <v>30</v>
      </c>
      <c r="C7" s="5" t="s">
        <v>31</v>
      </c>
      <c r="D7" s="5" t="s">
        <v>20</v>
      </c>
      <c r="E7" s="6" t="n">
        <v>10900800</v>
      </c>
      <c r="F7" s="4" t="n">
        <v>1</v>
      </c>
      <c r="G7" s="6" t="n">
        <v>10900800</v>
      </c>
      <c r="H7" s="5" t="s">
        <v>32</v>
      </c>
      <c r="I7" s="5" t="s">
        <v>33</v>
      </c>
      <c r="J7" s="5" t="s">
        <v>34</v>
      </c>
      <c r="K7" s="5" t="s">
        <v>35</v>
      </c>
      <c r="L7" s="5" t="s">
        <v>25</v>
      </c>
      <c r="M7" s="5" t="s">
        <v>36</v>
      </c>
      <c r="N7" s="7" t="n">
        <v>0</v>
      </c>
      <c r="O7" s="6" t="n">
        <v>1634440</v>
      </c>
      <c r="P7" s="8" t="n">
        <v>2.91</v>
      </c>
    </row>
    <row r="8" customFormat="false" ht="15" hidden="false" customHeight="false" outlineLevel="0" collapsed="false">
      <c r="A8" s="9" t="n">
        <v>97</v>
      </c>
      <c r="B8" s="9" t="s">
        <v>37</v>
      </c>
      <c r="C8" s="10" t="s">
        <v>38</v>
      </c>
      <c r="D8" s="10" t="s">
        <v>20</v>
      </c>
      <c r="E8" s="11" t="n">
        <v>9242900</v>
      </c>
      <c r="F8" s="9" t="n">
        <v>0.649147</v>
      </c>
      <c r="G8" s="11" t="n">
        <v>6000000</v>
      </c>
      <c r="H8" s="10" t="s">
        <v>21</v>
      </c>
      <c r="I8" s="10" t="s">
        <v>22</v>
      </c>
      <c r="J8" s="10" t="s">
        <v>23</v>
      </c>
      <c r="K8" s="10" t="s">
        <v>39</v>
      </c>
      <c r="L8" s="10" t="s">
        <v>25</v>
      </c>
      <c r="M8" s="10" t="s">
        <v>40</v>
      </c>
      <c r="N8" s="12" t="n">
        <v>0.85</v>
      </c>
      <c r="O8" s="11" t="n">
        <v>252000</v>
      </c>
      <c r="P8" s="13" t="n">
        <v>24.5</v>
      </c>
    </row>
    <row r="9" customFormat="false" ht="15" hidden="false" customHeight="false" outlineLevel="0" collapsed="false">
      <c r="A9" s="4" t="n">
        <v>98</v>
      </c>
      <c r="B9" s="4" t="s">
        <v>41</v>
      </c>
      <c r="C9" s="5" t="s">
        <v>42</v>
      </c>
      <c r="D9" s="5" t="s">
        <v>43</v>
      </c>
      <c r="E9" s="6" t="n">
        <v>40000</v>
      </c>
      <c r="F9" s="4" t="n">
        <v>0</v>
      </c>
      <c r="G9" s="6" t="n">
        <v>0</v>
      </c>
      <c r="H9" s="5" t="s">
        <v>44</v>
      </c>
      <c r="I9" s="5" t="s">
        <v>45</v>
      </c>
      <c r="J9" s="5" t="s">
        <v>34</v>
      </c>
      <c r="K9" s="5" t="s">
        <v>46</v>
      </c>
      <c r="L9" s="5" t="s">
        <v>25</v>
      </c>
      <c r="M9" s="5" t="s">
        <v>40</v>
      </c>
      <c r="N9" s="7" t="n">
        <v>0</v>
      </c>
      <c r="O9" s="6" t="n">
        <v>40000</v>
      </c>
      <c r="P9" s="8" t="n">
        <v>2.35</v>
      </c>
    </row>
    <row r="10" customFormat="false" ht="15" hidden="false" customHeight="false" outlineLevel="0" collapsed="false">
      <c r="A10" s="9" t="n">
        <v>100</v>
      </c>
      <c r="B10" s="9" t="s">
        <v>47</v>
      </c>
      <c r="C10" s="10" t="s">
        <v>48</v>
      </c>
      <c r="D10" s="10" t="s">
        <v>20</v>
      </c>
      <c r="E10" s="11" t="n">
        <v>879000</v>
      </c>
      <c r="F10" s="9" t="n">
        <v>0.9</v>
      </c>
      <c r="G10" s="11" t="n">
        <v>791100</v>
      </c>
      <c r="H10" s="10" t="s">
        <v>32</v>
      </c>
      <c r="I10" s="10" t="s">
        <v>49</v>
      </c>
      <c r="J10" s="10" t="s">
        <v>34</v>
      </c>
      <c r="K10" s="10" t="s">
        <v>35</v>
      </c>
      <c r="L10" s="10" t="s">
        <v>25</v>
      </c>
      <c r="M10" s="10" t="s">
        <v>29</v>
      </c>
      <c r="N10" s="12" t="n">
        <v>0</v>
      </c>
      <c r="O10" s="11" t="n">
        <v>527400</v>
      </c>
      <c r="P10" s="13" t="n">
        <v>10</v>
      </c>
    </row>
    <row r="11" customFormat="false" ht="15" hidden="false" customHeight="false" outlineLevel="0" collapsed="false">
      <c r="A11" s="4" t="n">
        <v>101</v>
      </c>
      <c r="B11" s="4" t="s">
        <v>50</v>
      </c>
      <c r="C11" s="5" t="s">
        <v>51</v>
      </c>
      <c r="D11" s="5" t="s">
        <v>20</v>
      </c>
      <c r="E11" s="6" t="n">
        <v>595000</v>
      </c>
      <c r="F11" s="4" t="n">
        <v>0.9</v>
      </c>
      <c r="G11" s="6" t="n">
        <v>535500</v>
      </c>
      <c r="H11" s="5" t="s">
        <v>21</v>
      </c>
      <c r="I11" s="5" t="s">
        <v>49</v>
      </c>
      <c r="J11" s="5" t="s">
        <v>34</v>
      </c>
      <c r="K11" s="5" t="s">
        <v>35</v>
      </c>
      <c r="L11" s="5" t="s">
        <v>25</v>
      </c>
      <c r="M11" s="5" t="s">
        <v>36</v>
      </c>
      <c r="N11" s="7" t="n">
        <v>0.94</v>
      </c>
      <c r="O11" s="6" t="n">
        <v>281292</v>
      </c>
      <c r="P11" s="8" t="n">
        <v>22.74</v>
      </c>
    </row>
    <row r="12" customFormat="false" ht="15" hidden="false" customHeight="false" outlineLevel="0" collapsed="false">
      <c r="A12" s="9" t="n">
        <v>102</v>
      </c>
      <c r="B12" s="9" t="s">
        <v>52</v>
      </c>
      <c r="C12" s="10" t="s">
        <v>53</v>
      </c>
      <c r="D12" s="10" t="s">
        <v>20</v>
      </c>
      <c r="E12" s="11" t="n">
        <v>1038920</v>
      </c>
      <c r="F12" s="9" t="n">
        <v>1</v>
      </c>
      <c r="G12" s="11" t="n">
        <v>1038920</v>
      </c>
      <c r="H12" s="10" t="s">
        <v>54</v>
      </c>
      <c r="I12" s="10" t="s">
        <v>55</v>
      </c>
      <c r="J12" s="10" t="s">
        <v>56</v>
      </c>
      <c r="K12" s="10" t="s">
        <v>57</v>
      </c>
      <c r="L12" s="10" t="s">
        <v>25</v>
      </c>
      <c r="M12" s="10" t="s">
        <v>29</v>
      </c>
      <c r="N12" s="12" t="n">
        <v>0</v>
      </c>
      <c r="O12" s="11" t="n">
        <v>423317</v>
      </c>
      <c r="P12" s="13" t="n">
        <v>10.93</v>
      </c>
    </row>
    <row r="13" customFormat="false" ht="15" hidden="false" customHeight="false" outlineLevel="0" collapsed="false">
      <c r="A13" s="4" t="n">
        <v>103</v>
      </c>
      <c r="B13" s="4" t="s">
        <v>58</v>
      </c>
      <c r="C13" s="5" t="s">
        <v>59</v>
      </c>
      <c r="D13" s="5" t="s">
        <v>20</v>
      </c>
      <c r="E13" s="6" t="n">
        <v>391825</v>
      </c>
      <c r="F13" s="4" t="n">
        <v>1</v>
      </c>
      <c r="G13" s="6" t="n">
        <v>391825</v>
      </c>
      <c r="H13" s="5" t="s">
        <v>54</v>
      </c>
      <c r="I13" s="5" t="s">
        <v>55</v>
      </c>
      <c r="J13" s="5" t="s">
        <v>56</v>
      </c>
      <c r="K13" s="5" t="s">
        <v>57</v>
      </c>
      <c r="L13" s="5" t="s">
        <v>25</v>
      </c>
      <c r="M13" s="5" t="s">
        <v>36</v>
      </c>
      <c r="N13" s="7" t="n">
        <v>0</v>
      </c>
      <c r="O13" s="6" t="n">
        <v>126612</v>
      </c>
      <c r="P13" s="8" t="n">
        <v>6.13</v>
      </c>
    </row>
    <row r="14" customFormat="false" ht="15" hidden="false" customHeight="false" outlineLevel="0" collapsed="false">
      <c r="A14" s="9" t="n">
        <v>104</v>
      </c>
      <c r="B14" s="9" t="s">
        <v>60</v>
      </c>
      <c r="C14" s="10" t="s">
        <v>61</v>
      </c>
      <c r="D14" s="10" t="s">
        <v>20</v>
      </c>
      <c r="E14" s="11" t="n">
        <v>1300000</v>
      </c>
      <c r="F14" s="9" t="n">
        <v>0.95</v>
      </c>
      <c r="G14" s="11" t="n">
        <v>1235000</v>
      </c>
      <c r="H14" s="10" t="s">
        <v>54</v>
      </c>
      <c r="I14" s="10" t="s">
        <v>55</v>
      </c>
      <c r="J14" s="10" t="s">
        <v>56</v>
      </c>
      <c r="K14" s="10" t="s">
        <v>57</v>
      </c>
      <c r="L14" s="10" t="s">
        <v>25</v>
      </c>
      <c r="M14" s="10" t="s">
        <v>36</v>
      </c>
      <c r="N14" s="12" t="n">
        <v>0</v>
      </c>
      <c r="O14" s="11" t="n">
        <v>869898</v>
      </c>
      <c r="P14" s="13" t="n">
        <v>48.43</v>
      </c>
    </row>
    <row r="15" customFormat="false" ht="15" hidden="false" customHeight="false" outlineLevel="0" collapsed="false">
      <c r="A15" s="4" t="n">
        <v>106</v>
      </c>
      <c r="B15" s="4" t="s">
        <v>62</v>
      </c>
      <c r="C15" s="5" t="s">
        <v>63</v>
      </c>
      <c r="D15" s="5" t="s">
        <v>20</v>
      </c>
      <c r="E15" s="6" t="n">
        <v>14445500</v>
      </c>
      <c r="F15" s="4" t="n">
        <v>0.968927</v>
      </c>
      <c r="G15" s="6" t="n">
        <v>13996700</v>
      </c>
      <c r="H15" s="5" t="s">
        <v>21</v>
      </c>
      <c r="I15" s="5" t="s">
        <v>22</v>
      </c>
      <c r="J15" s="5" t="s">
        <v>56</v>
      </c>
      <c r="K15" s="5" t="s">
        <v>64</v>
      </c>
      <c r="L15" s="5" t="s">
        <v>25</v>
      </c>
      <c r="M15" s="5" t="s">
        <v>36</v>
      </c>
      <c r="N15" s="7" t="n">
        <v>0.96</v>
      </c>
      <c r="O15" s="6" t="n">
        <v>248000</v>
      </c>
      <c r="P15" s="8" t="n">
        <v>57.6682</v>
      </c>
    </row>
    <row r="16" customFormat="false" ht="15" hidden="false" customHeight="false" outlineLevel="0" collapsed="false">
      <c r="A16" s="9" t="n">
        <v>108</v>
      </c>
      <c r="B16" s="9" t="s">
        <v>65</v>
      </c>
      <c r="C16" s="10" t="s">
        <v>66</v>
      </c>
      <c r="D16" s="10" t="s">
        <v>20</v>
      </c>
      <c r="E16" s="11" t="n">
        <v>1785350</v>
      </c>
      <c r="F16" s="9" t="n">
        <v>1</v>
      </c>
      <c r="G16" s="11" t="n">
        <v>1785350</v>
      </c>
      <c r="H16" s="10" t="s">
        <v>21</v>
      </c>
      <c r="I16" s="10" t="s">
        <v>67</v>
      </c>
      <c r="J16" s="10" t="s">
        <v>23</v>
      </c>
      <c r="K16" s="10" t="s">
        <v>39</v>
      </c>
      <c r="L16" s="10" t="s">
        <v>25</v>
      </c>
      <c r="M16" s="10" t="s">
        <v>29</v>
      </c>
      <c r="N16" s="12" t="n">
        <v>1</v>
      </c>
      <c r="O16" s="11" t="n">
        <v>1071210</v>
      </c>
      <c r="P16" s="13" t="n">
        <v>21.05</v>
      </c>
    </row>
    <row r="17" customFormat="false" ht="15" hidden="false" customHeight="false" outlineLevel="0" collapsed="false">
      <c r="A17" s="4" t="n">
        <v>109</v>
      </c>
      <c r="B17" s="4" t="s">
        <v>68</v>
      </c>
      <c r="C17" s="5" t="s">
        <v>69</v>
      </c>
      <c r="D17" s="5" t="s">
        <v>20</v>
      </c>
      <c r="E17" s="6" t="n">
        <v>559000</v>
      </c>
      <c r="F17" s="4" t="n">
        <v>0.3</v>
      </c>
      <c r="G17" s="6" t="n">
        <v>167700</v>
      </c>
      <c r="H17" s="5" t="s">
        <v>21</v>
      </c>
      <c r="I17" s="5" t="s">
        <v>67</v>
      </c>
      <c r="J17" s="5" t="s">
        <v>23</v>
      </c>
      <c r="K17" s="5" t="s">
        <v>39</v>
      </c>
      <c r="L17" s="5" t="s">
        <v>25</v>
      </c>
      <c r="M17" s="5" t="s">
        <v>26</v>
      </c>
      <c r="N17" s="7" t="n">
        <v>0.9</v>
      </c>
      <c r="O17" s="6" t="n">
        <v>335400</v>
      </c>
      <c r="P17" s="8" t="n">
        <v>3.8255</v>
      </c>
    </row>
    <row r="18" customFormat="false" ht="15" hidden="false" customHeight="false" outlineLevel="0" collapsed="false">
      <c r="A18" s="9" t="n">
        <v>110</v>
      </c>
      <c r="B18" s="9" t="s">
        <v>70</v>
      </c>
      <c r="C18" s="10" t="s">
        <v>71</v>
      </c>
      <c r="D18" s="10" t="s">
        <v>20</v>
      </c>
      <c r="E18" s="11" t="n">
        <v>385020</v>
      </c>
      <c r="F18" s="9" t="n">
        <v>1</v>
      </c>
      <c r="G18" s="11" t="n">
        <v>385020</v>
      </c>
      <c r="H18" s="10" t="s">
        <v>21</v>
      </c>
      <c r="I18" s="10" t="s">
        <v>67</v>
      </c>
      <c r="J18" s="10" t="s">
        <v>23</v>
      </c>
      <c r="K18" s="10" t="s">
        <v>39</v>
      </c>
      <c r="L18" s="10" t="s">
        <v>25</v>
      </c>
      <c r="M18" s="10" t="s">
        <v>26</v>
      </c>
      <c r="N18" s="12" t="n">
        <v>0.9</v>
      </c>
      <c r="O18" s="11" t="n">
        <v>231012</v>
      </c>
      <c r="P18" s="13" t="n">
        <v>4.14</v>
      </c>
    </row>
    <row r="19" customFormat="false" ht="15" hidden="false" customHeight="false" outlineLevel="0" collapsed="false">
      <c r="A19" s="4" t="n">
        <v>112</v>
      </c>
      <c r="B19" s="4" t="s">
        <v>72</v>
      </c>
      <c r="C19" s="5" t="s">
        <v>73</v>
      </c>
      <c r="D19" s="5" t="s">
        <v>20</v>
      </c>
      <c r="E19" s="6" t="n">
        <v>949800</v>
      </c>
      <c r="F19" s="4" t="n">
        <v>1</v>
      </c>
      <c r="G19" s="6" t="n">
        <v>949800</v>
      </c>
      <c r="H19" s="5" t="s">
        <v>21</v>
      </c>
      <c r="I19" s="5" t="s">
        <v>67</v>
      </c>
      <c r="J19" s="5" t="s">
        <v>23</v>
      </c>
      <c r="K19" s="5" t="s">
        <v>39</v>
      </c>
      <c r="L19" s="5" t="s">
        <v>25</v>
      </c>
      <c r="M19" s="5" t="s">
        <v>29</v>
      </c>
      <c r="N19" s="7" t="n">
        <v>1</v>
      </c>
      <c r="O19" s="6" t="n">
        <v>569880</v>
      </c>
      <c r="P19" s="8" t="n">
        <v>3.07</v>
      </c>
    </row>
    <row r="20" customFormat="false" ht="15" hidden="false" customHeight="false" outlineLevel="0" collapsed="false">
      <c r="A20" s="9" t="n">
        <v>113</v>
      </c>
      <c r="B20" s="9" t="s">
        <v>74</v>
      </c>
      <c r="C20" s="10" t="s">
        <v>75</v>
      </c>
      <c r="D20" s="10" t="s">
        <v>20</v>
      </c>
      <c r="E20" s="11" t="n">
        <v>296000</v>
      </c>
      <c r="F20" s="9" t="n">
        <v>0.3</v>
      </c>
      <c r="G20" s="11" t="n">
        <v>88800</v>
      </c>
      <c r="H20" s="10" t="s">
        <v>21</v>
      </c>
      <c r="I20" s="10" t="s">
        <v>67</v>
      </c>
      <c r="J20" s="10" t="s">
        <v>23</v>
      </c>
      <c r="K20" s="10" t="s">
        <v>39</v>
      </c>
      <c r="L20" s="10" t="s">
        <v>25</v>
      </c>
      <c r="M20" s="10" t="s">
        <v>26</v>
      </c>
      <c r="N20" s="12" t="n">
        <v>0.9</v>
      </c>
      <c r="O20" s="11" t="n">
        <v>177600</v>
      </c>
      <c r="P20" s="13" t="n">
        <v>8.9009</v>
      </c>
    </row>
    <row r="21" customFormat="false" ht="15" hidden="false" customHeight="false" outlineLevel="0" collapsed="false">
      <c r="A21" s="4" t="n">
        <v>118</v>
      </c>
      <c r="B21" s="4" t="s">
        <v>76</v>
      </c>
      <c r="C21" s="5" t="s">
        <v>77</v>
      </c>
      <c r="D21" s="5" t="s">
        <v>20</v>
      </c>
      <c r="E21" s="6" t="n">
        <v>3780000</v>
      </c>
      <c r="F21" s="4" t="n">
        <v>0.2</v>
      </c>
      <c r="G21" s="6" t="n">
        <v>756000</v>
      </c>
      <c r="H21" s="5" t="s">
        <v>21</v>
      </c>
      <c r="I21" s="5" t="s">
        <v>67</v>
      </c>
      <c r="J21" s="5" t="s">
        <v>23</v>
      </c>
      <c r="K21" s="5" t="s">
        <v>78</v>
      </c>
      <c r="L21" s="5" t="s">
        <v>79</v>
      </c>
      <c r="M21" s="5" t="s">
        <v>79</v>
      </c>
      <c r="N21" s="7" t="n">
        <v>0.3985</v>
      </c>
      <c r="O21" s="6" t="n">
        <v>3213000</v>
      </c>
      <c r="P21" s="8" t="n">
        <v>59.2</v>
      </c>
    </row>
    <row r="22" customFormat="false" ht="15" hidden="false" customHeight="false" outlineLevel="0" collapsed="false">
      <c r="A22" s="9" t="n">
        <v>122</v>
      </c>
      <c r="B22" s="9" t="s">
        <v>80</v>
      </c>
      <c r="C22" s="10" t="s">
        <v>81</v>
      </c>
      <c r="D22" s="10" t="s">
        <v>20</v>
      </c>
      <c r="E22" s="11" t="n">
        <v>606650</v>
      </c>
      <c r="F22" s="9" t="n">
        <v>0.55</v>
      </c>
      <c r="G22" s="11" t="n">
        <v>333630</v>
      </c>
      <c r="H22" s="10" t="s">
        <v>32</v>
      </c>
      <c r="I22" s="10" t="s">
        <v>82</v>
      </c>
      <c r="J22" s="10" t="s">
        <v>83</v>
      </c>
      <c r="K22" s="10" t="s">
        <v>84</v>
      </c>
      <c r="L22" s="10" t="s">
        <v>25</v>
      </c>
      <c r="M22" s="10" t="s">
        <v>85</v>
      </c>
      <c r="N22" s="12" t="n">
        <v>0</v>
      </c>
      <c r="O22" s="11" t="n">
        <v>363990</v>
      </c>
      <c r="P22" s="13" t="n">
        <v>54.77</v>
      </c>
    </row>
    <row r="23" customFormat="false" ht="15" hidden="false" customHeight="false" outlineLevel="0" collapsed="false">
      <c r="A23" s="4" t="n">
        <v>125</v>
      </c>
      <c r="B23" s="4" t="s">
        <v>86</v>
      </c>
      <c r="C23" s="4" t="s">
        <v>87</v>
      </c>
      <c r="D23" s="5" t="s">
        <v>20</v>
      </c>
      <c r="E23" s="6" t="n">
        <v>100000</v>
      </c>
      <c r="F23" s="4" t="n">
        <v>0</v>
      </c>
      <c r="G23" s="6" t="n">
        <v>0</v>
      </c>
      <c r="H23" s="5" t="s">
        <v>54</v>
      </c>
      <c r="I23" s="5" t="s">
        <v>55</v>
      </c>
      <c r="J23" s="5" t="s">
        <v>56</v>
      </c>
      <c r="K23" s="5" t="s">
        <v>88</v>
      </c>
      <c r="L23" s="5" t="s">
        <v>89</v>
      </c>
      <c r="M23" s="5" t="s">
        <v>36</v>
      </c>
      <c r="N23" s="7" t="n">
        <v>0</v>
      </c>
      <c r="O23" s="6" t="n">
        <v>60000</v>
      </c>
      <c r="P23" s="8" t="n">
        <v>2.95</v>
      </c>
    </row>
    <row r="24" customFormat="false" ht="15" hidden="false" customHeight="false" outlineLevel="0" collapsed="false">
      <c r="A24" s="9" t="n">
        <v>126</v>
      </c>
      <c r="B24" s="9" t="s">
        <v>90</v>
      </c>
      <c r="C24" s="10" t="s">
        <v>91</v>
      </c>
      <c r="D24" s="10" t="s">
        <v>20</v>
      </c>
      <c r="E24" s="11" t="n">
        <v>177000</v>
      </c>
      <c r="F24" s="9" t="n">
        <v>1</v>
      </c>
      <c r="G24" s="11" t="n">
        <v>177000</v>
      </c>
      <c r="H24" s="10" t="s">
        <v>54</v>
      </c>
      <c r="I24" s="10" t="s">
        <v>55</v>
      </c>
      <c r="J24" s="10" t="s">
        <v>56</v>
      </c>
      <c r="K24" s="10" t="s">
        <v>88</v>
      </c>
      <c r="L24" s="10" t="s">
        <v>25</v>
      </c>
      <c r="M24" s="10" t="s">
        <v>36</v>
      </c>
      <c r="N24" s="12" t="n">
        <v>0</v>
      </c>
      <c r="O24" s="11" t="n">
        <v>80363.5</v>
      </c>
      <c r="P24" s="13" t="n">
        <v>3.79</v>
      </c>
    </row>
    <row r="25" customFormat="false" ht="15" hidden="false" customHeight="false" outlineLevel="0" collapsed="false">
      <c r="A25" s="4" t="n">
        <v>127</v>
      </c>
      <c r="B25" s="4" t="s">
        <v>92</v>
      </c>
      <c r="C25" s="5" t="s">
        <v>93</v>
      </c>
      <c r="D25" s="5" t="s">
        <v>20</v>
      </c>
      <c r="E25" s="6" t="n">
        <v>448600</v>
      </c>
      <c r="F25" s="4" t="n">
        <v>1</v>
      </c>
      <c r="G25" s="6" t="n">
        <v>448600</v>
      </c>
      <c r="H25" s="5" t="s">
        <v>54</v>
      </c>
      <c r="I25" s="5" t="s">
        <v>55</v>
      </c>
      <c r="J25" s="5" t="s">
        <v>56</v>
      </c>
      <c r="K25" s="5" t="s">
        <v>88</v>
      </c>
      <c r="L25" s="5" t="s">
        <v>25</v>
      </c>
      <c r="M25" s="5" t="s">
        <v>36</v>
      </c>
      <c r="N25" s="7" t="n">
        <v>0</v>
      </c>
      <c r="O25" s="6" t="n">
        <v>219345</v>
      </c>
      <c r="P25" s="8" t="n">
        <v>18.5864</v>
      </c>
    </row>
    <row r="26" customFormat="false" ht="15" hidden="false" customHeight="false" outlineLevel="0" collapsed="false">
      <c r="A26" s="9" t="n">
        <v>128</v>
      </c>
      <c r="B26" s="9" t="s">
        <v>94</v>
      </c>
      <c r="C26" s="10" t="s">
        <v>95</v>
      </c>
      <c r="D26" s="10" t="s">
        <v>20</v>
      </c>
      <c r="E26" s="11" t="n">
        <v>450000</v>
      </c>
      <c r="F26" s="9" t="n">
        <v>1</v>
      </c>
      <c r="G26" s="11" t="n">
        <v>450000</v>
      </c>
      <c r="H26" s="10" t="s">
        <v>96</v>
      </c>
      <c r="I26" s="10" t="s">
        <v>55</v>
      </c>
      <c r="J26" s="10" t="s">
        <v>56</v>
      </c>
      <c r="K26" s="10" t="s">
        <v>88</v>
      </c>
      <c r="L26" s="10" t="s">
        <v>89</v>
      </c>
      <c r="M26" s="10" t="s">
        <v>36</v>
      </c>
      <c r="N26" s="12" t="n">
        <v>0</v>
      </c>
      <c r="O26" s="11" t="n">
        <v>270000</v>
      </c>
      <c r="P26" s="13" t="n">
        <v>15.6718</v>
      </c>
    </row>
    <row r="27" customFormat="false" ht="15" hidden="false" customHeight="false" outlineLevel="0" collapsed="false">
      <c r="A27" s="4" t="n">
        <v>129</v>
      </c>
      <c r="B27" s="4" t="s">
        <v>97</v>
      </c>
      <c r="C27" s="5" t="s">
        <v>98</v>
      </c>
      <c r="D27" s="5" t="s">
        <v>20</v>
      </c>
      <c r="E27" s="6" t="n">
        <v>85000</v>
      </c>
      <c r="F27" s="4" t="n">
        <v>1</v>
      </c>
      <c r="G27" s="6" t="n">
        <v>85000</v>
      </c>
      <c r="H27" s="5" t="s">
        <v>96</v>
      </c>
      <c r="I27" s="5" t="s">
        <v>55</v>
      </c>
      <c r="J27" s="5" t="s">
        <v>56</v>
      </c>
      <c r="K27" s="5" t="s">
        <v>88</v>
      </c>
      <c r="L27" s="5" t="s">
        <v>25</v>
      </c>
      <c r="M27" s="5" t="s">
        <v>36</v>
      </c>
      <c r="N27" s="7" t="n">
        <v>0</v>
      </c>
      <c r="O27" s="6" t="n">
        <v>85000</v>
      </c>
      <c r="P27" s="8" t="n">
        <v>10.35</v>
      </c>
    </row>
    <row r="28" customFormat="false" ht="15" hidden="false" customHeight="false" outlineLevel="0" collapsed="false">
      <c r="A28" s="9" t="n">
        <v>131</v>
      </c>
      <c r="B28" s="9" t="s">
        <v>99</v>
      </c>
      <c r="C28" s="10" t="s">
        <v>100</v>
      </c>
      <c r="D28" s="10" t="s">
        <v>20</v>
      </c>
      <c r="E28" s="11" t="n">
        <v>286000</v>
      </c>
      <c r="F28" s="9" t="n">
        <v>0.4</v>
      </c>
      <c r="G28" s="11" t="n">
        <v>114400</v>
      </c>
      <c r="H28" s="10" t="s">
        <v>54</v>
      </c>
      <c r="I28" s="10" t="s">
        <v>49</v>
      </c>
      <c r="J28" s="10" t="s">
        <v>34</v>
      </c>
      <c r="K28" s="10" t="s">
        <v>101</v>
      </c>
      <c r="L28" s="10" t="s">
        <v>25</v>
      </c>
      <c r="M28" s="10" t="s">
        <v>29</v>
      </c>
      <c r="N28" s="12" t="n">
        <v>0</v>
      </c>
      <c r="O28" s="11" t="n">
        <v>135000</v>
      </c>
      <c r="P28" s="13" t="n">
        <v>8.86</v>
      </c>
    </row>
    <row r="29" customFormat="false" ht="15" hidden="false" customHeight="false" outlineLevel="0" collapsed="false">
      <c r="A29" s="4" t="n">
        <v>132</v>
      </c>
      <c r="B29" s="4" t="s">
        <v>102</v>
      </c>
      <c r="C29" s="5" t="s">
        <v>103</v>
      </c>
      <c r="D29" s="5" t="s">
        <v>20</v>
      </c>
      <c r="E29" s="6" t="n">
        <v>425000</v>
      </c>
      <c r="F29" s="4" t="n">
        <v>0.6</v>
      </c>
      <c r="G29" s="6" t="n">
        <v>255000</v>
      </c>
      <c r="H29" s="5" t="s">
        <v>21</v>
      </c>
      <c r="I29" s="5" t="s">
        <v>45</v>
      </c>
      <c r="J29" s="5" t="s">
        <v>34</v>
      </c>
      <c r="K29" s="5" t="s">
        <v>101</v>
      </c>
      <c r="L29" s="5" t="s">
        <v>89</v>
      </c>
      <c r="M29" s="5" t="s">
        <v>104</v>
      </c>
      <c r="N29" s="7" t="n">
        <v>0</v>
      </c>
      <c r="O29" s="6" t="n">
        <v>235560</v>
      </c>
      <c r="P29" s="8" t="n">
        <v>31.28</v>
      </c>
    </row>
    <row r="30" customFormat="false" ht="15" hidden="false" customHeight="false" outlineLevel="0" collapsed="false">
      <c r="A30" s="9" t="n">
        <v>133</v>
      </c>
      <c r="B30" s="9" t="s">
        <v>105</v>
      </c>
      <c r="C30" s="10" t="s">
        <v>106</v>
      </c>
      <c r="D30" s="10" t="s">
        <v>20</v>
      </c>
      <c r="E30" s="11" t="n">
        <v>138000</v>
      </c>
      <c r="F30" s="9" t="n">
        <v>0.4</v>
      </c>
      <c r="G30" s="11" t="n">
        <v>55200</v>
      </c>
      <c r="H30" s="10" t="s">
        <v>54</v>
      </c>
      <c r="I30" s="10" t="s">
        <v>49</v>
      </c>
      <c r="J30" s="10" t="s">
        <v>34</v>
      </c>
      <c r="K30" s="10" t="s">
        <v>101</v>
      </c>
      <c r="L30" s="10" t="s">
        <v>25</v>
      </c>
      <c r="M30" s="10" t="s">
        <v>29</v>
      </c>
      <c r="N30" s="12" t="n">
        <v>0</v>
      </c>
      <c r="O30" s="11" t="n">
        <v>70000</v>
      </c>
      <c r="P30" s="13" t="n">
        <v>3.5</v>
      </c>
    </row>
    <row r="31" customFormat="false" ht="15" hidden="false" customHeight="false" outlineLevel="0" collapsed="false">
      <c r="A31" s="4" t="n">
        <v>134</v>
      </c>
      <c r="B31" s="4" t="s">
        <v>107</v>
      </c>
      <c r="C31" s="5" t="s">
        <v>108</v>
      </c>
      <c r="D31" s="5" t="s">
        <v>20</v>
      </c>
      <c r="E31" s="6" t="n">
        <v>1961000</v>
      </c>
      <c r="F31" s="4" t="n">
        <v>0.998939</v>
      </c>
      <c r="G31" s="6" t="n">
        <v>1958920</v>
      </c>
      <c r="H31" s="5" t="s">
        <v>21</v>
      </c>
      <c r="I31" s="5" t="s">
        <v>22</v>
      </c>
      <c r="J31" s="5" t="s">
        <v>109</v>
      </c>
      <c r="K31" s="5" t="s">
        <v>110</v>
      </c>
      <c r="L31" s="5" t="s">
        <v>25</v>
      </c>
      <c r="M31" s="5" t="s">
        <v>104</v>
      </c>
      <c r="N31" s="7" t="n">
        <v>0.98</v>
      </c>
      <c r="O31" s="6" t="n">
        <v>243000</v>
      </c>
      <c r="P31" s="8" t="n">
        <v>51.72</v>
      </c>
    </row>
    <row r="32" customFormat="false" ht="15" hidden="false" customHeight="false" outlineLevel="0" collapsed="false">
      <c r="A32" s="9" t="n">
        <v>135</v>
      </c>
      <c r="B32" s="9" t="s">
        <v>111</v>
      </c>
      <c r="C32" s="10" t="s">
        <v>112</v>
      </c>
      <c r="D32" s="10" t="s">
        <v>20</v>
      </c>
      <c r="E32" s="11" t="n">
        <v>102000</v>
      </c>
      <c r="F32" s="9" t="n">
        <v>0</v>
      </c>
      <c r="G32" s="11" t="n">
        <v>0</v>
      </c>
      <c r="H32" s="10" t="s">
        <v>21</v>
      </c>
      <c r="I32" s="10" t="s">
        <v>22</v>
      </c>
      <c r="J32" s="10" t="s">
        <v>109</v>
      </c>
      <c r="K32" s="10" t="s">
        <v>110</v>
      </c>
      <c r="L32" s="10" t="s">
        <v>25</v>
      </c>
      <c r="M32" s="10" t="s">
        <v>29</v>
      </c>
      <c r="N32" s="12" t="n">
        <v>0</v>
      </c>
      <c r="O32" s="11" t="n">
        <v>40000</v>
      </c>
      <c r="P32" s="13" t="n">
        <v>2</v>
      </c>
    </row>
    <row r="33" customFormat="false" ht="15" hidden="false" customHeight="false" outlineLevel="0" collapsed="false">
      <c r="A33" s="4" t="n">
        <v>136</v>
      </c>
      <c r="B33" s="4" t="s">
        <v>113</v>
      </c>
      <c r="C33" s="5" t="s">
        <v>114</v>
      </c>
      <c r="D33" s="5" t="s">
        <v>20</v>
      </c>
      <c r="E33" s="6" t="n">
        <v>146000</v>
      </c>
      <c r="F33" s="4" t="n">
        <v>0.6</v>
      </c>
      <c r="G33" s="6" t="n">
        <v>87600</v>
      </c>
      <c r="H33" s="5" t="s">
        <v>21</v>
      </c>
      <c r="I33" s="5" t="s">
        <v>22</v>
      </c>
      <c r="J33" s="5" t="s">
        <v>109</v>
      </c>
      <c r="K33" s="5" t="s">
        <v>110</v>
      </c>
      <c r="L33" s="5" t="s">
        <v>25</v>
      </c>
      <c r="M33" s="5" t="s">
        <v>29</v>
      </c>
      <c r="N33" s="7" t="n">
        <v>0</v>
      </c>
      <c r="O33" s="6" t="n">
        <v>30000</v>
      </c>
      <c r="P33" s="8" t="n">
        <v>2.03</v>
      </c>
    </row>
    <row r="34" customFormat="false" ht="15" hidden="false" customHeight="false" outlineLevel="0" collapsed="false">
      <c r="A34" s="9" t="n">
        <v>137</v>
      </c>
      <c r="B34" s="9" t="s">
        <v>115</v>
      </c>
      <c r="C34" s="10" t="s">
        <v>116</v>
      </c>
      <c r="D34" s="10" t="s">
        <v>20</v>
      </c>
      <c r="E34" s="11" t="n">
        <v>60000</v>
      </c>
      <c r="F34" s="9" t="n">
        <v>0.6</v>
      </c>
      <c r="G34" s="11" t="n">
        <v>36000</v>
      </c>
      <c r="H34" s="10" t="s">
        <v>21</v>
      </c>
      <c r="I34" s="10" t="s">
        <v>22</v>
      </c>
      <c r="J34" s="10" t="s">
        <v>109</v>
      </c>
      <c r="K34" s="10" t="s">
        <v>110</v>
      </c>
      <c r="L34" s="10" t="s">
        <v>25</v>
      </c>
      <c r="M34" s="10" t="s">
        <v>29</v>
      </c>
      <c r="N34" s="12" t="n">
        <v>0</v>
      </c>
      <c r="O34" s="11" t="n">
        <v>20000</v>
      </c>
      <c r="P34" s="13" t="n">
        <v>1</v>
      </c>
    </row>
    <row r="35" customFormat="false" ht="15" hidden="false" customHeight="false" outlineLevel="0" collapsed="false">
      <c r="A35" s="4" t="n">
        <v>138</v>
      </c>
      <c r="B35" s="4" t="s">
        <v>117</v>
      </c>
      <c r="C35" s="5" t="s">
        <v>118</v>
      </c>
      <c r="D35" s="5" t="s">
        <v>43</v>
      </c>
      <c r="E35" s="6" t="n">
        <v>250000</v>
      </c>
      <c r="F35" s="4" t="n">
        <v>0</v>
      </c>
      <c r="G35" s="6" t="n">
        <v>0</v>
      </c>
      <c r="H35" s="5" t="s">
        <v>119</v>
      </c>
      <c r="I35" s="5" t="s">
        <v>120</v>
      </c>
      <c r="J35" s="5" t="s">
        <v>121</v>
      </c>
      <c r="K35" s="5" t="s">
        <v>122</v>
      </c>
      <c r="L35" s="5" t="s">
        <v>25</v>
      </c>
      <c r="M35" s="5" t="s">
        <v>26</v>
      </c>
      <c r="N35" s="7" t="n">
        <v>0</v>
      </c>
      <c r="O35" s="6" t="n">
        <v>250000</v>
      </c>
      <c r="P35" s="8" t="n">
        <v>3.74</v>
      </c>
    </row>
    <row r="36" customFormat="false" ht="15" hidden="false" customHeight="false" outlineLevel="0" collapsed="false">
      <c r="A36" s="9" t="n">
        <v>139</v>
      </c>
      <c r="B36" s="9" t="s">
        <v>123</v>
      </c>
      <c r="C36" s="10" t="s">
        <v>124</v>
      </c>
      <c r="D36" s="10" t="s">
        <v>43</v>
      </c>
      <c r="E36" s="11" t="n">
        <v>250000</v>
      </c>
      <c r="F36" s="9" t="n">
        <v>0</v>
      </c>
      <c r="G36" s="11" t="n">
        <v>0</v>
      </c>
      <c r="H36" s="10" t="s">
        <v>119</v>
      </c>
      <c r="I36" s="10" t="s">
        <v>120</v>
      </c>
      <c r="J36" s="10" t="s">
        <v>121</v>
      </c>
      <c r="K36" s="10" t="s">
        <v>122</v>
      </c>
      <c r="L36" s="10" t="s">
        <v>25</v>
      </c>
      <c r="M36" s="10" t="s">
        <v>26</v>
      </c>
      <c r="N36" s="12" t="n">
        <v>0</v>
      </c>
      <c r="O36" s="11" t="n">
        <v>250000</v>
      </c>
      <c r="P36" s="13" t="n">
        <v>3.54</v>
      </c>
    </row>
    <row r="37" customFormat="false" ht="15" hidden="false" customHeight="false" outlineLevel="0" collapsed="false">
      <c r="A37" s="4" t="n">
        <v>141</v>
      </c>
      <c r="B37" s="4" t="s">
        <v>125</v>
      </c>
      <c r="C37" s="5" t="s">
        <v>126</v>
      </c>
      <c r="D37" s="5" t="s">
        <v>43</v>
      </c>
      <c r="E37" s="6" t="n">
        <v>0</v>
      </c>
      <c r="F37" s="4" t="n">
        <v>0</v>
      </c>
      <c r="G37" s="6" t="n">
        <v>0</v>
      </c>
      <c r="H37" s="5" t="s">
        <v>54</v>
      </c>
      <c r="I37" s="5" t="s">
        <v>45</v>
      </c>
      <c r="J37" s="5" t="s">
        <v>34</v>
      </c>
      <c r="K37" s="5" t="s">
        <v>46</v>
      </c>
      <c r="L37" s="5" t="s">
        <v>25</v>
      </c>
      <c r="M37" s="5" t="s">
        <v>36</v>
      </c>
      <c r="N37" s="7" t="n">
        <v>0</v>
      </c>
      <c r="O37" s="6" t="n">
        <v>0</v>
      </c>
      <c r="P37" s="8" t="n">
        <v>29.51</v>
      </c>
    </row>
    <row r="38" customFormat="false" ht="15" hidden="false" customHeight="false" outlineLevel="0" collapsed="false">
      <c r="A38" s="9" t="n">
        <v>143</v>
      </c>
      <c r="B38" s="9" t="s">
        <v>127</v>
      </c>
      <c r="C38" s="10" t="s">
        <v>128</v>
      </c>
      <c r="D38" s="10" t="s">
        <v>20</v>
      </c>
      <c r="E38" s="11" t="n">
        <v>11560000</v>
      </c>
      <c r="F38" s="9" t="n">
        <v>1</v>
      </c>
      <c r="G38" s="11" t="n">
        <v>11560000</v>
      </c>
      <c r="H38" s="10" t="s">
        <v>21</v>
      </c>
      <c r="I38" s="10" t="s">
        <v>120</v>
      </c>
      <c r="J38" s="10" t="s">
        <v>23</v>
      </c>
      <c r="K38" s="10" t="s">
        <v>129</v>
      </c>
      <c r="L38" s="10" t="s">
        <v>25</v>
      </c>
      <c r="M38" s="10" t="s">
        <v>29</v>
      </c>
      <c r="N38" s="12" t="n">
        <v>0.95</v>
      </c>
      <c r="O38" s="11" t="n">
        <v>6936000</v>
      </c>
      <c r="P38" s="13" t="n">
        <v>144.88</v>
      </c>
    </row>
    <row r="39" customFormat="false" ht="15" hidden="false" customHeight="false" outlineLevel="0" collapsed="false">
      <c r="A39" s="4" t="n">
        <v>145</v>
      </c>
      <c r="B39" s="4" t="s">
        <v>130</v>
      </c>
      <c r="C39" s="5" t="s">
        <v>131</v>
      </c>
      <c r="D39" s="5" t="s">
        <v>20</v>
      </c>
      <c r="E39" s="6" t="n">
        <v>9885200</v>
      </c>
      <c r="F39" s="4" t="n">
        <v>0.967483</v>
      </c>
      <c r="G39" s="6" t="n">
        <v>9563770</v>
      </c>
      <c r="H39" s="5" t="s">
        <v>21</v>
      </c>
      <c r="I39" s="5" t="s">
        <v>120</v>
      </c>
      <c r="J39" s="5" t="s">
        <v>23</v>
      </c>
      <c r="K39" s="5" t="s">
        <v>129</v>
      </c>
      <c r="L39" s="5" t="s">
        <v>25</v>
      </c>
      <c r="M39" s="5" t="s">
        <v>36</v>
      </c>
      <c r="N39" s="7" t="n">
        <v>0.95</v>
      </c>
      <c r="O39" s="6" t="n">
        <v>600000</v>
      </c>
      <c r="P39" s="8" t="n">
        <v>60.13</v>
      </c>
    </row>
    <row r="40" customFormat="false" ht="15" hidden="false" customHeight="false" outlineLevel="0" collapsed="false">
      <c r="A40" s="9" t="n">
        <v>147</v>
      </c>
      <c r="B40" s="9" t="s">
        <v>132</v>
      </c>
      <c r="C40" s="10" t="s">
        <v>133</v>
      </c>
      <c r="D40" s="10" t="s">
        <v>134</v>
      </c>
      <c r="E40" s="11" t="n">
        <v>81000000</v>
      </c>
      <c r="F40" s="9" t="n">
        <v>0</v>
      </c>
      <c r="G40" s="11" t="n">
        <v>0</v>
      </c>
      <c r="H40" s="10" t="s">
        <v>21</v>
      </c>
      <c r="I40" s="10" t="s">
        <v>120</v>
      </c>
      <c r="J40" s="10" t="s">
        <v>23</v>
      </c>
      <c r="K40" s="10" t="s">
        <v>129</v>
      </c>
      <c r="L40" s="10" t="s">
        <v>25</v>
      </c>
      <c r="M40" s="10" t="s">
        <v>135</v>
      </c>
      <c r="N40" s="12" t="n">
        <v>0</v>
      </c>
      <c r="O40" s="11" t="n">
        <v>48600000</v>
      </c>
      <c r="P40" s="13" t="n">
        <v>144.1</v>
      </c>
    </row>
    <row r="41" customFormat="false" ht="15" hidden="false" customHeight="false" outlineLevel="0" collapsed="false">
      <c r="A41" s="4" t="n">
        <v>148</v>
      </c>
      <c r="B41" s="4" t="s">
        <v>136</v>
      </c>
      <c r="C41" s="5" t="s">
        <v>137</v>
      </c>
      <c r="D41" s="5" t="s">
        <v>43</v>
      </c>
      <c r="E41" s="6" t="n">
        <v>463550</v>
      </c>
      <c r="F41" s="4" t="n">
        <v>0</v>
      </c>
      <c r="G41" s="6" t="n">
        <v>0</v>
      </c>
      <c r="H41" s="5" t="s">
        <v>119</v>
      </c>
      <c r="I41" s="5" t="s">
        <v>122</v>
      </c>
      <c r="J41" s="5" t="s">
        <v>121</v>
      </c>
      <c r="K41" s="5" t="s">
        <v>122</v>
      </c>
      <c r="L41" s="5" t="s">
        <v>25</v>
      </c>
      <c r="M41" s="5" t="s">
        <v>26</v>
      </c>
      <c r="N41" s="7" t="n">
        <v>0</v>
      </c>
      <c r="O41" s="6" t="n">
        <v>535050</v>
      </c>
      <c r="P41" s="8" t="n">
        <v>38.4373</v>
      </c>
    </row>
    <row r="42" customFormat="false" ht="15" hidden="false" customHeight="false" outlineLevel="0" collapsed="false">
      <c r="A42" s="9" t="n">
        <v>156</v>
      </c>
      <c r="B42" s="9" t="s">
        <v>138</v>
      </c>
      <c r="C42" s="10" t="s">
        <v>139</v>
      </c>
      <c r="D42" s="10" t="s">
        <v>20</v>
      </c>
      <c r="E42" s="11" t="n">
        <v>426500</v>
      </c>
      <c r="F42" s="9" t="n">
        <v>1</v>
      </c>
      <c r="G42" s="11" t="n">
        <v>426500</v>
      </c>
      <c r="H42" s="10" t="s">
        <v>54</v>
      </c>
      <c r="I42" s="10" t="s">
        <v>49</v>
      </c>
      <c r="J42" s="10" t="s">
        <v>34</v>
      </c>
      <c r="K42" s="10" t="s">
        <v>101</v>
      </c>
      <c r="L42" s="10" t="s">
        <v>89</v>
      </c>
      <c r="M42" s="10" t="s">
        <v>29</v>
      </c>
      <c r="N42" s="12" t="n">
        <v>0</v>
      </c>
      <c r="O42" s="11" t="n">
        <v>198000</v>
      </c>
      <c r="P42" s="13" t="n">
        <v>1.05</v>
      </c>
    </row>
    <row r="43" customFormat="false" ht="15" hidden="false" customHeight="false" outlineLevel="0" collapsed="false">
      <c r="A43" s="4" t="n">
        <v>157</v>
      </c>
      <c r="B43" s="4" t="s">
        <v>140</v>
      </c>
      <c r="C43" s="5" t="s">
        <v>141</v>
      </c>
      <c r="D43" s="5" t="s">
        <v>20</v>
      </c>
      <c r="E43" s="6" t="n">
        <v>2904950</v>
      </c>
      <c r="F43" s="4" t="n">
        <v>1</v>
      </c>
      <c r="G43" s="6" t="n">
        <v>2904950</v>
      </c>
      <c r="H43" s="5" t="s">
        <v>54</v>
      </c>
      <c r="I43" s="5" t="s">
        <v>49</v>
      </c>
      <c r="J43" s="5" t="s">
        <v>34</v>
      </c>
      <c r="K43" s="5" t="s">
        <v>101</v>
      </c>
      <c r="L43" s="5" t="s">
        <v>89</v>
      </c>
      <c r="M43" s="5" t="s">
        <v>29</v>
      </c>
      <c r="N43" s="7" t="n">
        <v>0</v>
      </c>
      <c r="O43" s="6" t="n">
        <v>104320</v>
      </c>
      <c r="P43" s="8" t="n">
        <v>1.5</v>
      </c>
    </row>
    <row r="44" customFormat="false" ht="15" hidden="false" customHeight="false" outlineLevel="0" collapsed="false">
      <c r="A44" s="9" t="n">
        <v>158</v>
      </c>
      <c r="B44" s="9" t="s">
        <v>142</v>
      </c>
      <c r="C44" s="10" t="s">
        <v>143</v>
      </c>
      <c r="D44" s="10" t="s">
        <v>20</v>
      </c>
      <c r="E44" s="11" t="n">
        <v>1560000</v>
      </c>
      <c r="F44" s="9" t="n">
        <v>0.8</v>
      </c>
      <c r="G44" s="11" t="n">
        <v>1248000</v>
      </c>
      <c r="H44" s="10" t="s">
        <v>21</v>
      </c>
      <c r="I44" s="10" t="s">
        <v>49</v>
      </c>
      <c r="J44" s="10" t="s">
        <v>34</v>
      </c>
      <c r="K44" s="10" t="s">
        <v>101</v>
      </c>
      <c r="L44" s="10" t="s">
        <v>25</v>
      </c>
      <c r="M44" s="10" t="s">
        <v>85</v>
      </c>
      <c r="N44" s="12" t="n">
        <v>0</v>
      </c>
      <c r="O44" s="11" t="n">
        <v>86000</v>
      </c>
      <c r="P44" s="13" t="n">
        <v>1</v>
      </c>
    </row>
    <row r="45" customFormat="false" ht="15" hidden="false" customHeight="false" outlineLevel="0" collapsed="false">
      <c r="A45" s="4" t="n">
        <v>159</v>
      </c>
      <c r="B45" s="4" t="s">
        <v>144</v>
      </c>
      <c r="C45" s="5" t="s">
        <v>145</v>
      </c>
      <c r="D45" s="5" t="s">
        <v>134</v>
      </c>
      <c r="E45" s="6" t="n">
        <v>0</v>
      </c>
      <c r="F45" s="4" t="n">
        <v>0</v>
      </c>
      <c r="G45" s="6" t="n">
        <v>0</v>
      </c>
      <c r="H45" s="5" t="s">
        <v>21</v>
      </c>
      <c r="I45" s="5" t="s">
        <v>49</v>
      </c>
      <c r="J45" s="5" t="s">
        <v>34</v>
      </c>
      <c r="K45" s="5" t="s">
        <v>101</v>
      </c>
      <c r="L45" s="5" t="s">
        <v>25</v>
      </c>
      <c r="M45" s="5" t="s">
        <v>29</v>
      </c>
      <c r="N45" s="7" t="n">
        <v>0</v>
      </c>
      <c r="O45" s="6" t="n">
        <v>0</v>
      </c>
      <c r="P45" s="8" t="n">
        <v>2.6</v>
      </c>
    </row>
    <row r="46" customFormat="false" ht="15" hidden="false" customHeight="false" outlineLevel="0" collapsed="false">
      <c r="A46" s="9" t="n">
        <v>160</v>
      </c>
      <c r="B46" s="9" t="s">
        <v>146</v>
      </c>
      <c r="C46" s="10" t="s">
        <v>147</v>
      </c>
      <c r="D46" s="10" t="s">
        <v>43</v>
      </c>
      <c r="E46" s="11" t="n">
        <v>582600</v>
      </c>
      <c r="F46" s="9" t="n">
        <v>0</v>
      </c>
      <c r="G46" s="11" t="n">
        <v>0</v>
      </c>
      <c r="H46" s="10" t="s">
        <v>148</v>
      </c>
      <c r="I46" s="10" t="s">
        <v>120</v>
      </c>
      <c r="J46" s="10" t="s">
        <v>34</v>
      </c>
      <c r="K46" s="10" t="s">
        <v>46</v>
      </c>
      <c r="L46" s="10" t="s">
        <v>25</v>
      </c>
      <c r="M46" s="10" t="s">
        <v>40</v>
      </c>
      <c r="N46" s="12" t="n">
        <v>0</v>
      </c>
      <c r="O46" s="11" t="n">
        <v>582600</v>
      </c>
      <c r="P46" s="13" t="n">
        <v>50.46</v>
      </c>
    </row>
    <row r="47" customFormat="false" ht="15" hidden="false" customHeight="false" outlineLevel="0" collapsed="false">
      <c r="A47" s="4" t="n">
        <v>163</v>
      </c>
      <c r="B47" s="4" t="s">
        <v>149</v>
      </c>
      <c r="C47" s="5" t="s">
        <v>150</v>
      </c>
      <c r="D47" s="5" t="s">
        <v>20</v>
      </c>
      <c r="E47" s="6" t="n">
        <v>430000</v>
      </c>
      <c r="F47" s="4" t="n">
        <v>0</v>
      </c>
      <c r="G47" s="6" t="n">
        <v>0</v>
      </c>
      <c r="H47" s="5" t="s">
        <v>96</v>
      </c>
      <c r="I47" s="5" t="s">
        <v>55</v>
      </c>
      <c r="J47" s="5" t="s">
        <v>56</v>
      </c>
      <c r="K47" s="5" t="s">
        <v>88</v>
      </c>
      <c r="L47" s="5" t="s">
        <v>25</v>
      </c>
      <c r="M47" s="5" t="s">
        <v>36</v>
      </c>
      <c r="N47" s="7" t="n">
        <v>0</v>
      </c>
      <c r="O47" s="6" t="n">
        <v>430000</v>
      </c>
      <c r="P47" s="8" t="n">
        <v>34.1355</v>
      </c>
    </row>
    <row r="48" customFormat="false" ht="15" hidden="false" customHeight="false" outlineLevel="0" collapsed="false">
      <c r="A48" s="9" t="n">
        <v>164</v>
      </c>
      <c r="B48" s="9" t="s">
        <v>151</v>
      </c>
      <c r="C48" s="10" t="s">
        <v>152</v>
      </c>
      <c r="D48" s="10" t="s">
        <v>20</v>
      </c>
      <c r="E48" s="11" t="n">
        <v>556200</v>
      </c>
      <c r="F48" s="9" t="n">
        <v>0.2</v>
      </c>
      <c r="G48" s="11" t="n">
        <v>41420</v>
      </c>
      <c r="H48" s="10" t="s">
        <v>54</v>
      </c>
      <c r="I48" s="10" t="s">
        <v>55</v>
      </c>
      <c r="J48" s="10" t="s">
        <v>56</v>
      </c>
      <c r="K48" s="10" t="s">
        <v>88</v>
      </c>
      <c r="L48" s="10" t="s">
        <v>25</v>
      </c>
      <c r="M48" s="10" t="s">
        <v>36</v>
      </c>
      <c r="N48" s="12" t="n">
        <v>0</v>
      </c>
      <c r="O48" s="11" t="n">
        <v>461568</v>
      </c>
      <c r="P48" s="13" t="n">
        <v>14.1445</v>
      </c>
    </row>
    <row r="49" customFormat="false" ht="15" hidden="false" customHeight="false" outlineLevel="0" collapsed="false">
      <c r="A49" s="4" t="n">
        <v>166</v>
      </c>
      <c r="B49" s="4" t="s">
        <v>153</v>
      </c>
      <c r="C49" s="5" t="s">
        <v>154</v>
      </c>
      <c r="D49" s="5" t="s">
        <v>20</v>
      </c>
      <c r="E49" s="6" t="n">
        <v>635000</v>
      </c>
      <c r="F49" s="4" t="n">
        <v>0.3</v>
      </c>
      <c r="G49" s="6" t="n">
        <v>190500</v>
      </c>
      <c r="H49" s="5" t="s">
        <v>119</v>
      </c>
      <c r="I49" s="5" t="s">
        <v>122</v>
      </c>
      <c r="J49" s="5" t="s">
        <v>121</v>
      </c>
      <c r="K49" s="5" t="s">
        <v>122</v>
      </c>
      <c r="L49" s="5" t="s">
        <v>25</v>
      </c>
      <c r="M49" s="5" t="s">
        <v>26</v>
      </c>
      <c r="N49" s="7" t="n">
        <v>0</v>
      </c>
      <c r="O49" s="6" t="n">
        <v>508000</v>
      </c>
      <c r="P49" s="8" t="n">
        <v>1.45</v>
      </c>
    </row>
    <row r="50" customFormat="false" ht="15" hidden="false" customHeight="false" outlineLevel="0" collapsed="false">
      <c r="A50" s="9" t="n">
        <v>172</v>
      </c>
      <c r="B50" s="9" t="s">
        <v>155</v>
      </c>
      <c r="C50" s="10" t="s">
        <v>156</v>
      </c>
      <c r="D50" s="10" t="s">
        <v>157</v>
      </c>
      <c r="E50" s="11" t="n">
        <v>1060500</v>
      </c>
      <c r="F50" s="9" t="n">
        <v>0</v>
      </c>
      <c r="G50" s="11" t="n">
        <v>0</v>
      </c>
      <c r="H50" s="10" t="s">
        <v>119</v>
      </c>
      <c r="I50" s="10" t="s">
        <v>55</v>
      </c>
      <c r="J50" s="10" t="s">
        <v>56</v>
      </c>
      <c r="K50" s="10" t="s">
        <v>55</v>
      </c>
      <c r="L50" s="10" t="s">
        <v>25</v>
      </c>
      <c r="M50" s="10" t="s">
        <v>135</v>
      </c>
      <c r="N50" s="12" t="n">
        <v>0</v>
      </c>
      <c r="O50" s="11" t="n">
        <v>1060500</v>
      </c>
      <c r="P50" s="13" t="n">
        <v>54.47</v>
      </c>
    </row>
    <row r="51" customFormat="false" ht="15" hidden="false" customHeight="false" outlineLevel="0" collapsed="false">
      <c r="A51" s="4" t="n">
        <v>176</v>
      </c>
      <c r="B51" s="4"/>
      <c r="C51" s="5" t="s">
        <v>158</v>
      </c>
      <c r="D51" s="4"/>
      <c r="E51" s="6" t="n">
        <v>0</v>
      </c>
      <c r="F51" s="4" t="n">
        <v>0</v>
      </c>
      <c r="G51" s="6" t="n">
        <v>0</v>
      </c>
      <c r="H51" s="5" t="s">
        <v>21</v>
      </c>
      <c r="I51" s="5" t="s">
        <v>159</v>
      </c>
      <c r="J51" s="5" t="s">
        <v>160</v>
      </c>
      <c r="K51" s="5" t="s">
        <v>159</v>
      </c>
      <c r="L51" s="4"/>
      <c r="M51" s="5" t="s">
        <v>161</v>
      </c>
      <c r="N51" s="7" t="n">
        <v>0</v>
      </c>
      <c r="O51" s="6" t="n">
        <v>0</v>
      </c>
      <c r="P51" s="8" t="n">
        <v>25.7</v>
      </c>
    </row>
    <row r="52" customFormat="false" ht="15" hidden="false" customHeight="false" outlineLevel="0" collapsed="false">
      <c r="A52" s="9" t="n">
        <v>177</v>
      </c>
      <c r="B52" s="9" t="s">
        <v>162</v>
      </c>
      <c r="C52" s="10" t="s">
        <v>163</v>
      </c>
      <c r="D52" s="10" t="s">
        <v>20</v>
      </c>
      <c r="E52" s="11" t="n">
        <v>347800</v>
      </c>
      <c r="F52" s="9" t="n">
        <v>0</v>
      </c>
      <c r="G52" s="11" t="n">
        <v>0</v>
      </c>
      <c r="H52" s="10" t="s">
        <v>21</v>
      </c>
      <c r="I52" s="10" t="s">
        <v>67</v>
      </c>
      <c r="J52" s="10" t="s">
        <v>23</v>
      </c>
      <c r="K52" s="10" t="s">
        <v>39</v>
      </c>
      <c r="L52" s="10" t="s">
        <v>25</v>
      </c>
      <c r="M52" s="10" t="s">
        <v>164</v>
      </c>
      <c r="N52" s="12" t="n">
        <v>1</v>
      </c>
      <c r="O52" s="11" t="n">
        <v>90000</v>
      </c>
      <c r="P52" s="13" t="n">
        <v>8.3927</v>
      </c>
    </row>
    <row r="53" customFormat="false" ht="15" hidden="false" customHeight="false" outlineLevel="0" collapsed="false">
      <c r="A53" s="4" t="n">
        <v>178</v>
      </c>
      <c r="B53" s="4" t="s">
        <v>165</v>
      </c>
      <c r="C53" s="5" t="s">
        <v>166</v>
      </c>
      <c r="D53" s="5" t="s">
        <v>20</v>
      </c>
      <c r="E53" s="6" t="n">
        <v>675000</v>
      </c>
      <c r="F53" s="4" t="n">
        <v>1</v>
      </c>
      <c r="G53" s="6" t="n">
        <v>675000</v>
      </c>
      <c r="H53" s="5" t="s">
        <v>21</v>
      </c>
      <c r="I53" s="5" t="s">
        <v>120</v>
      </c>
      <c r="J53" s="5" t="s">
        <v>23</v>
      </c>
      <c r="K53" s="5" t="s">
        <v>129</v>
      </c>
      <c r="L53" s="5" t="s">
        <v>89</v>
      </c>
      <c r="M53" s="5" t="s">
        <v>36</v>
      </c>
      <c r="N53" s="7" t="n">
        <v>1</v>
      </c>
      <c r="O53" s="6" t="n">
        <v>297000</v>
      </c>
      <c r="P53" s="8" t="n">
        <v>27.38</v>
      </c>
    </row>
    <row r="54" customFormat="false" ht="15" hidden="false" customHeight="false" outlineLevel="0" collapsed="false">
      <c r="A54" s="9" t="n">
        <v>179</v>
      </c>
      <c r="B54" s="9" t="s">
        <v>167</v>
      </c>
      <c r="C54" s="10" t="s">
        <v>168</v>
      </c>
      <c r="D54" s="10" t="s">
        <v>20</v>
      </c>
      <c r="E54" s="11" t="n">
        <v>1220830</v>
      </c>
      <c r="F54" s="9" t="n">
        <v>0.185294</v>
      </c>
      <c r="G54" s="11" t="n">
        <v>226212</v>
      </c>
      <c r="H54" s="10" t="s">
        <v>32</v>
      </c>
      <c r="I54" s="10" t="s">
        <v>82</v>
      </c>
      <c r="J54" s="10" t="s">
        <v>83</v>
      </c>
      <c r="K54" s="10" t="s">
        <v>169</v>
      </c>
      <c r="L54" s="10" t="s">
        <v>89</v>
      </c>
      <c r="M54" s="10" t="s">
        <v>36</v>
      </c>
      <c r="N54" s="12" t="n">
        <v>0</v>
      </c>
      <c r="O54" s="11" t="n">
        <v>732498</v>
      </c>
      <c r="P54" s="13" t="n">
        <v>24</v>
      </c>
    </row>
    <row r="55" customFormat="false" ht="15" hidden="false" customHeight="false" outlineLevel="0" collapsed="false">
      <c r="A55" s="4" t="n">
        <v>181</v>
      </c>
      <c r="B55" s="4"/>
      <c r="C55" s="5" t="s">
        <v>170</v>
      </c>
      <c r="D55" s="4"/>
      <c r="E55" s="6" t="n">
        <v>0</v>
      </c>
      <c r="F55" s="4" t="n">
        <v>0</v>
      </c>
      <c r="G55" s="6" t="n">
        <v>0</v>
      </c>
      <c r="H55" s="5" t="s">
        <v>54</v>
      </c>
      <c r="I55" s="5" t="s">
        <v>120</v>
      </c>
      <c r="J55" s="5" t="s">
        <v>54</v>
      </c>
      <c r="K55" s="5" t="s">
        <v>120</v>
      </c>
      <c r="L55" s="4"/>
      <c r="M55" s="5" t="s">
        <v>161</v>
      </c>
      <c r="N55" s="7" t="n">
        <v>0</v>
      </c>
      <c r="O55" s="6" t="n">
        <v>0</v>
      </c>
      <c r="P55" s="8" t="n">
        <v>22.1291</v>
      </c>
    </row>
    <row r="56" customFormat="false" ht="15" hidden="false" customHeight="false" outlineLevel="0" collapsed="false">
      <c r="A56" s="9" t="n">
        <v>182</v>
      </c>
      <c r="B56" s="9" t="s">
        <v>171</v>
      </c>
      <c r="C56" s="10" t="s">
        <v>172</v>
      </c>
      <c r="D56" s="10" t="s">
        <v>43</v>
      </c>
      <c r="E56" s="11" t="n">
        <v>120656</v>
      </c>
      <c r="F56" s="9" t="n">
        <v>0</v>
      </c>
      <c r="G56" s="11" t="n">
        <v>0</v>
      </c>
      <c r="H56" s="10" t="s">
        <v>96</v>
      </c>
      <c r="I56" s="10" t="s">
        <v>120</v>
      </c>
      <c r="J56" s="10" t="s">
        <v>34</v>
      </c>
      <c r="K56" s="10" t="s">
        <v>101</v>
      </c>
      <c r="L56" s="10" t="s">
        <v>89</v>
      </c>
      <c r="M56" s="10" t="s">
        <v>36</v>
      </c>
      <c r="N56" s="12" t="n">
        <v>0</v>
      </c>
      <c r="O56" s="11" t="n">
        <v>120656</v>
      </c>
      <c r="P56" s="13" t="n">
        <v>49.69</v>
      </c>
    </row>
    <row r="57" customFormat="false" ht="15" hidden="false" customHeight="false" outlineLevel="0" collapsed="false">
      <c r="A57" s="4" t="n">
        <v>183</v>
      </c>
      <c r="B57" s="4" t="s">
        <v>173</v>
      </c>
      <c r="C57" s="5" t="s">
        <v>174</v>
      </c>
      <c r="D57" s="5" t="s">
        <v>43</v>
      </c>
      <c r="E57" s="6" t="n">
        <v>0</v>
      </c>
      <c r="F57" s="4" t="n">
        <v>0</v>
      </c>
      <c r="G57" s="6" t="n">
        <v>0</v>
      </c>
      <c r="H57" s="5" t="s">
        <v>175</v>
      </c>
      <c r="I57" s="5" t="s">
        <v>120</v>
      </c>
      <c r="J57" s="5" t="s">
        <v>34</v>
      </c>
      <c r="K57" s="5" t="s">
        <v>101</v>
      </c>
      <c r="L57" s="5" t="s">
        <v>89</v>
      </c>
      <c r="M57" s="5" t="s">
        <v>36</v>
      </c>
      <c r="N57" s="7" t="n">
        <v>0</v>
      </c>
      <c r="O57" s="6" t="n">
        <v>0</v>
      </c>
      <c r="P57" s="8" t="n">
        <v>17.38</v>
      </c>
    </row>
    <row r="58" customFormat="false" ht="15" hidden="false" customHeight="false" outlineLevel="0" collapsed="false">
      <c r="A58" s="9" t="n">
        <v>184</v>
      </c>
      <c r="B58" s="9" t="s">
        <v>176</v>
      </c>
      <c r="C58" s="10" t="s">
        <v>177</v>
      </c>
      <c r="D58" s="10" t="s">
        <v>43</v>
      </c>
      <c r="E58" s="11" t="n">
        <v>677000</v>
      </c>
      <c r="F58" s="9" t="n">
        <v>0</v>
      </c>
      <c r="G58" s="11" t="n">
        <v>0</v>
      </c>
      <c r="H58" s="10" t="s">
        <v>119</v>
      </c>
      <c r="I58" s="10" t="s">
        <v>120</v>
      </c>
      <c r="J58" s="10" t="s">
        <v>121</v>
      </c>
      <c r="K58" s="10" t="s">
        <v>122</v>
      </c>
      <c r="L58" s="10" t="s">
        <v>25</v>
      </c>
      <c r="M58" s="10" t="s">
        <v>178</v>
      </c>
      <c r="N58" s="12" t="n">
        <v>0</v>
      </c>
      <c r="O58" s="11" t="n">
        <v>677000</v>
      </c>
      <c r="P58" s="13" t="n">
        <v>18.35</v>
      </c>
    </row>
    <row r="59" customFormat="false" ht="15" hidden="false" customHeight="false" outlineLevel="0" collapsed="false">
      <c r="A59" s="4" t="n">
        <v>185</v>
      </c>
      <c r="B59" s="4" t="s">
        <v>179</v>
      </c>
      <c r="C59" s="4" t="s">
        <v>180</v>
      </c>
      <c r="D59" s="5" t="s">
        <v>20</v>
      </c>
      <c r="E59" s="6" t="n">
        <v>8061870</v>
      </c>
      <c r="F59" s="4" t="n">
        <v>0.35</v>
      </c>
      <c r="G59" s="6" t="n">
        <v>2821660</v>
      </c>
      <c r="H59" s="5" t="s">
        <v>21</v>
      </c>
      <c r="I59" s="5" t="s">
        <v>181</v>
      </c>
      <c r="J59" s="5" t="s">
        <v>23</v>
      </c>
      <c r="K59" s="5" t="s">
        <v>182</v>
      </c>
      <c r="L59" s="5" t="s">
        <v>25</v>
      </c>
      <c r="M59" s="5" t="s">
        <v>135</v>
      </c>
      <c r="N59" s="7" t="n">
        <v>0.95</v>
      </c>
      <c r="O59" s="6" t="n">
        <v>3949390</v>
      </c>
      <c r="P59" s="8" t="n">
        <v>89.36</v>
      </c>
    </row>
    <row r="60" customFormat="false" ht="15" hidden="false" customHeight="false" outlineLevel="0" collapsed="false">
      <c r="A60" s="9" t="n">
        <v>186</v>
      </c>
      <c r="B60" s="9" t="s">
        <v>183</v>
      </c>
      <c r="C60" s="10" t="s">
        <v>184</v>
      </c>
      <c r="D60" s="10" t="s">
        <v>20</v>
      </c>
      <c r="E60" s="11" t="n">
        <v>400660</v>
      </c>
      <c r="F60" s="9" t="n">
        <v>0</v>
      </c>
      <c r="G60" s="11" t="n">
        <v>0</v>
      </c>
      <c r="H60" s="10" t="s">
        <v>185</v>
      </c>
      <c r="I60" s="10" t="s">
        <v>45</v>
      </c>
      <c r="J60" s="10" t="s">
        <v>34</v>
      </c>
      <c r="K60" s="10" t="s">
        <v>46</v>
      </c>
      <c r="L60" s="10" t="s">
        <v>89</v>
      </c>
      <c r="M60" s="10" t="s">
        <v>36</v>
      </c>
      <c r="N60" s="12" t="n">
        <v>1</v>
      </c>
      <c r="O60" s="11" t="n">
        <v>400660</v>
      </c>
      <c r="P60" s="13" t="n">
        <v>40.02</v>
      </c>
    </row>
    <row r="61" customFormat="false" ht="15" hidden="false" customHeight="false" outlineLevel="0" collapsed="false">
      <c r="A61" s="4" t="n">
        <v>188</v>
      </c>
      <c r="B61" s="4" t="s">
        <v>186</v>
      </c>
      <c r="C61" s="5" t="s">
        <v>187</v>
      </c>
      <c r="D61" s="5" t="s">
        <v>20</v>
      </c>
      <c r="E61" s="6" t="n">
        <v>460000</v>
      </c>
      <c r="F61" s="4" t="n">
        <v>0.2</v>
      </c>
      <c r="G61" s="6" t="n">
        <v>92000</v>
      </c>
      <c r="H61" s="5" t="s">
        <v>21</v>
      </c>
      <c r="I61" s="5" t="s">
        <v>67</v>
      </c>
      <c r="J61" s="5" t="s">
        <v>23</v>
      </c>
      <c r="K61" s="5" t="s">
        <v>24</v>
      </c>
      <c r="L61" s="5" t="s">
        <v>25</v>
      </c>
      <c r="M61" s="5" t="s">
        <v>26</v>
      </c>
      <c r="N61" s="7" t="n">
        <v>0.98</v>
      </c>
      <c r="O61" s="6" t="n">
        <v>311683</v>
      </c>
      <c r="P61" s="8" t="n">
        <v>16.68</v>
      </c>
    </row>
    <row r="62" customFormat="false" ht="15" hidden="false" customHeight="false" outlineLevel="0" collapsed="false">
      <c r="A62" s="9" t="n">
        <v>189</v>
      </c>
      <c r="B62" s="9" t="s">
        <v>188</v>
      </c>
      <c r="C62" s="10" t="s">
        <v>189</v>
      </c>
      <c r="D62" s="10" t="s">
        <v>43</v>
      </c>
      <c r="E62" s="11" t="n">
        <v>514500</v>
      </c>
      <c r="F62" s="9" t="n">
        <v>0</v>
      </c>
      <c r="G62" s="11" t="n">
        <v>0</v>
      </c>
      <c r="H62" s="10" t="s">
        <v>148</v>
      </c>
      <c r="I62" s="10" t="s">
        <v>120</v>
      </c>
      <c r="J62" s="10" t="s">
        <v>34</v>
      </c>
      <c r="K62" s="10" t="s">
        <v>46</v>
      </c>
      <c r="L62" s="10" t="s">
        <v>25</v>
      </c>
      <c r="M62" s="10" t="s">
        <v>135</v>
      </c>
      <c r="N62" s="12" t="n">
        <v>0.38</v>
      </c>
      <c r="O62" s="11" t="n">
        <v>514500</v>
      </c>
      <c r="P62" s="13" t="n">
        <v>31.26</v>
      </c>
    </row>
    <row r="63" customFormat="false" ht="15" hidden="false" customHeight="false" outlineLevel="0" collapsed="false">
      <c r="A63" s="4" t="n">
        <v>191</v>
      </c>
      <c r="B63" s="4" t="s">
        <v>190</v>
      </c>
      <c r="C63" s="5" t="s">
        <v>191</v>
      </c>
      <c r="D63" s="5" t="s">
        <v>20</v>
      </c>
      <c r="E63" s="6" t="n">
        <v>239351</v>
      </c>
      <c r="F63" s="4" t="n">
        <v>1</v>
      </c>
      <c r="G63" s="6" t="n">
        <v>239351</v>
      </c>
      <c r="H63" s="5" t="s">
        <v>21</v>
      </c>
      <c r="I63" s="5" t="s">
        <v>67</v>
      </c>
      <c r="J63" s="5" t="s">
        <v>23</v>
      </c>
      <c r="K63" s="5" t="s">
        <v>39</v>
      </c>
      <c r="L63" s="5" t="s">
        <v>25</v>
      </c>
      <c r="M63" s="5" t="s">
        <v>26</v>
      </c>
      <c r="N63" s="7" t="n">
        <v>1</v>
      </c>
      <c r="O63" s="6" t="n">
        <v>146667</v>
      </c>
      <c r="P63" s="8" t="n">
        <v>0.87</v>
      </c>
    </row>
    <row r="64" customFormat="false" ht="15" hidden="false" customHeight="false" outlineLevel="0" collapsed="false">
      <c r="A64" s="9" t="n">
        <v>192</v>
      </c>
      <c r="B64" s="9" t="s">
        <v>192</v>
      </c>
      <c r="C64" s="9" t="s">
        <v>193</v>
      </c>
      <c r="D64" s="10" t="s">
        <v>20</v>
      </c>
      <c r="E64" s="11" t="n">
        <v>396000</v>
      </c>
      <c r="F64" s="9" t="n">
        <v>0</v>
      </c>
      <c r="G64" s="11" t="n">
        <v>0</v>
      </c>
      <c r="H64" s="10" t="s">
        <v>21</v>
      </c>
      <c r="I64" s="10" t="s">
        <v>49</v>
      </c>
      <c r="J64" s="10" t="s">
        <v>121</v>
      </c>
      <c r="K64" s="10" t="s">
        <v>194</v>
      </c>
      <c r="L64" s="10" t="s">
        <v>89</v>
      </c>
      <c r="M64" s="10" t="s">
        <v>36</v>
      </c>
      <c r="N64" s="12" t="n">
        <v>1</v>
      </c>
      <c r="O64" s="11" t="n">
        <v>87300</v>
      </c>
      <c r="P64" s="13" t="n">
        <v>7.42</v>
      </c>
    </row>
    <row r="65" customFormat="false" ht="15" hidden="false" customHeight="false" outlineLevel="0" collapsed="false">
      <c r="A65" s="4" t="n">
        <v>194</v>
      </c>
      <c r="B65" s="4" t="s">
        <v>195</v>
      </c>
      <c r="C65" s="5" t="s">
        <v>196</v>
      </c>
      <c r="D65" s="5" t="s">
        <v>43</v>
      </c>
      <c r="E65" s="6" t="n">
        <v>0</v>
      </c>
      <c r="F65" s="4" t="n">
        <v>0</v>
      </c>
      <c r="G65" s="6" t="n">
        <v>0</v>
      </c>
      <c r="H65" s="5" t="s">
        <v>119</v>
      </c>
      <c r="I65" s="5" t="s">
        <v>120</v>
      </c>
      <c r="J65" s="5" t="s">
        <v>121</v>
      </c>
      <c r="K65" s="5" t="s">
        <v>122</v>
      </c>
      <c r="L65" s="5" t="s">
        <v>25</v>
      </c>
      <c r="M65" s="5" t="s">
        <v>197</v>
      </c>
      <c r="N65" s="7" t="n">
        <v>0</v>
      </c>
      <c r="O65" s="6" t="n">
        <v>0</v>
      </c>
      <c r="P65" s="8" t="n">
        <v>1.88</v>
      </c>
    </row>
    <row r="66" customFormat="false" ht="15" hidden="false" customHeight="false" outlineLevel="0" collapsed="false">
      <c r="A66" s="9" t="n">
        <v>196</v>
      </c>
      <c r="B66" s="9" t="s">
        <v>198</v>
      </c>
      <c r="C66" s="10" t="s">
        <v>199</v>
      </c>
      <c r="D66" s="10" t="s">
        <v>20</v>
      </c>
      <c r="E66" s="11" t="n">
        <v>400000</v>
      </c>
      <c r="F66" s="9" t="n">
        <v>0</v>
      </c>
      <c r="G66" s="11" t="n">
        <v>0</v>
      </c>
      <c r="H66" s="10" t="s">
        <v>200</v>
      </c>
      <c r="I66" s="10" t="s">
        <v>33</v>
      </c>
      <c r="J66" s="10" t="s">
        <v>34</v>
      </c>
      <c r="K66" s="10" t="s">
        <v>46</v>
      </c>
      <c r="L66" s="10" t="s">
        <v>25</v>
      </c>
      <c r="M66" s="10" t="s">
        <v>135</v>
      </c>
      <c r="N66" s="12" t="n">
        <v>0</v>
      </c>
      <c r="O66" s="11" t="n">
        <v>257400</v>
      </c>
      <c r="P66" s="13" t="n">
        <v>16.8253</v>
      </c>
    </row>
    <row r="67" customFormat="false" ht="15" hidden="false" customHeight="false" outlineLevel="0" collapsed="false">
      <c r="A67" s="4" t="n">
        <v>197</v>
      </c>
      <c r="B67" s="4" t="s">
        <v>201</v>
      </c>
      <c r="C67" s="5" t="s">
        <v>202</v>
      </c>
      <c r="D67" s="5" t="s">
        <v>157</v>
      </c>
      <c r="E67" s="6" t="n">
        <v>0</v>
      </c>
      <c r="F67" s="4" t="n">
        <v>0</v>
      </c>
      <c r="G67" s="6" t="n">
        <v>0</v>
      </c>
      <c r="H67" s="5" t="s">
        <v>21</v>
      </c>
      <c r="I67" s="5" t="s">
        <v>159</v>
      </c>
      <c r="J67" s="5" t="s">
        <v>109</v>
      </c>
      <c r="K67" s="5" t="s">
        <v>110</v>
      </c>
      <c r="L67" s="5" t="s">
        <v>25</v>
      </c>
      <c r="M67" s="5" t="s">
        <v>135</v>
      </c>
      <c r="N67" s="7" t="n">
        <v>0</v>
      </c>
      <c r="O67" s="6" t="n">
        <v>0</v>
      </c>
      <c r="P67" s="8" t="n">
        <v>55.69</v>
      </c>
    </row>
    <row r="68" customFormat="false" ht="15" hidden="false" customHeight="false" outlineLevel="0" collapsed="false">
      <c r="A68" s="9" t="n">
        <v>198</v>
      </c>
      <c r="B68" s="9"/>
      <c r="C68" s="10" t="s">
        <v>203</v>
      </c>
      <c r="D68" s="9"/>
      <c r="E68" s="11" t="n">
        <v>0</v>
      </c>
      <c r="F68" s="9" t="n">
        <v>0</v>
      </c>
      <c r="G68" s="11" t="n">
        <v>0</v>
      </c>
      <c r="H68" s="9" t="s">
        <v>204</v>
      </c>
      <c r="I68" s="10" t="s">
        <v>120</v>
      </c>
      <c r="J68" s="10" t="s">
        <v>54</v>
      </c>
      <c r="K68" s="10" t="s">
        <v>120</v>
      </c>
      <c r="L68" s="9"/>
      <c r="M68" s="10" t="s">
        <v>36</v>
      </c>
      <c r="N68" s="12" t="n">
        <v>0</v>
      </c>
      <c r="O68" s="11" t="n">
        <v>0</v>
      </c>
      <c r="P68" s="13" t="n">
        <v>3.55</v>
      </c>
    </row>
    <row r="69" customFormat="false" ht="15" hidden="false" customHeight="false" outlineLevel="0" collapsed="false">
      <c r="A69" s="4" t="n">
        <v>199</v>
      </c>
      <c r="B69" s="4" t="s">
        <v>205</v>
      </c>
      <c r="C69" s="4" t="s">
        <v>206</v>
      </c>
      <c r="D69" s="5" t="s">
        <v>20</v>
      </c>
      <c r="E69" s="6" t="n">
        <v>342000</v>
      </c>
      <c r="F69" s="4" t="n">
        <v>0.4</v>
      </c>
      <c r="G69" s="6" t="n">
        <v>136800</v>
      </c>
      <c r="H69" s="5" t="s">
        <v>32</v>
      </c>
      <c r="I69" s="5" t="s">
        <v>207</v>
      </c>
      <c r="J69" s="5" t="s">
        <v>34</v>
      </c>
      <c r="K69" s="5" t="s">
        <v>35</v>
      </c>
      <c r="L69" s="5" t="s">
        <v>89</v>
      </c>
      <c r="M69" s="5" t="s">
        <v>36</v>
      </c>
      <c r="N69" s="7" t="n">
        <v>0</v>
      </c>
      <c r="O69" s="6" t="n">
        <v>167100</v>
      </c>
      <c r="P69" s="8" t="n">
        <v>14.29</v>
      </c>
    </row>
    <row r="70" customFormat="false" ht="15" hidden="false" customHeight="false" outlineLevel="0" collapsed="false">
      <c r="A70" s="9" t="n">
        <v>200</v>
      </c>
      <c r="B70" s="9" t="s">
        <v>208</v>
      </c>
      <c r="C70" s="10" t="s">
        <v>209</v>
      </c>
      <c r="D70" s="10" t="s">
        <v>134</v>
      </c>
      <c r="E70" s="11" t="n">
        <v>120000</v>
      </c>
      <c r="F70" s="9" t="n">
        <v>0</v>
      </c>
      <c r="G70" s="11" t="n">
        <v>0</v>
      </c>
      <c r="H70" s="10" t="s">
        <v>21</v>
      </c>
      <c r="I70" s="10" t="s">
        <v>49</v>
      </c>
      <c r="J70" s="10" t="s">
        <v>34</v>
      </c>
      <c r="K70" s="10" t="s">
        <v>207</v>
      </c>
      <c r="L70" s="10" t="s">
        <v>89</v>
      </c>
      <c r="M70" s="10" t="s">
        <v>36</v>
      </c>
      <c r="N70" s="12" t="n">
        <v>0.5</v>
      </c>
      <c r="O70" s="11" t="n">
        <v>102200</v>
      </c>
      <c r="P70" s="13" t="n">
        <v>6.01</v>
      </c>
    </row>
    <row r="71" customFormat="false" ht="15" hidden="false" customHeight="false" outlineLevel="0" collapsed="false">
      <c r="A71" s="4" t="n">
        <v>201</v>
      </c>
      <c r="B71" s="4" t="s">
        <v>210</v>
      </c>
      <c r="C71" s="4" t="s">
        <v>211</v>
      </c>
      <c r="D71" s="5" t="s">
        <v>20</v>
      </c>
      <c r="E71" s="6" t="n">
        <v>2310000</v>
      </c>
      <c r="F71" s="4" t="n">
        <v>0</v>
      </c>
      <c r="G71" s="6" t="n">
        <v>0</v>
      </c>
      <c r="H71" s="5" t="s">
        <v>54</v>
      </c>
      <c r="I71" s="5" t="s">
        <v>55</v>
      </c>
      <c r="J71" s="5" t="s">
        <v>56</v>
      </c>
      <c r="K71" s="5" t="s">
        <v>57</v>
      </c>
      <c r="L71" s="5" t="s">
        <v>25</v>
      </c>
      <c r="M71" s="5" t="s">
        <v>36</v>
      </c>
      <c r="N71" s="7" t="n">
        <v>0</v>
      </c>
      <c r="O71" s="6" t="n">
        <v>343900</v>
      </c>
      <c r="P71" s="8" t="n">
        <v>17.28</v>
      </c>
    </row>
    <row r="72" customFormat="false" ht="15" hidden="false" customHeight="false" outlineLevel="0" collapsed="false">
      <c r="A72" s="9" t="n">
        <v>202</v>
      </c>
      <c r="B72" s="9" t="s">
        <v>212</v>
      </c>
      <c r="C72" s="10" t="s">
        <v>213</v>
      </c>
      <c r="D72" s="10" t="s">
        <v>157</v>
      </c>
      <c r="E72" s="11" t="n">
        <v>0</v>
      </c>
      <c r="F72" s="9" t="n">
        <v>0</v>
      </c>
      <c r="G72" s="11" t="n">
        <v>0</v>
      </c>
      <c r="H72" s="10" t="s">
        <v>214</v>
      </c>
      <c r="I72" s="10" t="s">
        <v>215</v>
      </c>
      <c r="J72" s="10" t="s">
        <v>54</v>
      </c>
      <c r="K72" s="10" t="s">
        <v>78</v>
      </c>
      <c r="L72" s="10" t="s">
        <v>25</v>
      </c>
      <c r="M72" s="10" t="s">
        <v>135</v>
      </c>
      <c r="N72" s="12" t="n">
        <v>0</v>
      </c>
      <c r="O72" s="11" t="n">
        <v>0</v>
      </c>
      <c r="P72" s="13" t="n">
        <v>23.56</v>
      </c>
    </row>
    <row r="73" customFormat="false" ht="15" hidden="false" customHeight="false" outlineLevel="0" collapsed="false">
      <c r="A73" s="4" t="n">
        <v>203</v>
      </c>
      <c r="B73" s="4" t="s">
        <v>216</v>
      </c>
      <c r="C73" s="5" t="s">
        <v>217</v>
      </c>
      <c r="D73" s="5" t="s">
        <v>43</v>
      </c>
      <c r="E73" s="6" t="n">
        <v>562500</v>
      </c>
      <c r="F73" s="4" t="n">
        <v>0</v>
      </c>
      <c r="G73" s="6" t="n">
        <v>0</v>
      </c>
      <c r="H73" s="5" t="s">
        <v>218</v>
      </c>
      <c r="I73" s="5" t="s">
        <v>120</v>
      </c>
      <c r="J73" s="5" t="s">
        <v>121</v>
      </c>
      <c r="K73" s="5" t="s">
        <v>122</v>
      </c>
      <c r="L73" s="5" t="s">
        <v>25</v>
      </c>
      <c r="M73" s="5" t="s">
        <v>135</v>
      </c>
      <c r="N73" s="7" t="n">
        <v>0</v>
      </c>
      <c r="O73" s="6" t="n">
        <v>294550</v>
      </c>
      <c r="P73" s="8" t="n">
        <v>15.93</v>
      </c>
    </row>
    <row r="74" customFormat="false" ht="15" hidden="false" customHeight="false" outlineLevel="0" collapsed="false">
      <c r="A74" s="9" t="n">
        <v>204</v>
      </c>
      <c r="B74" s="9" t="s">
        <v>219</v>
      </c>
      <c r="C74" s="10" t="s">
        <v>220</v>
      </c>
      <c r="D74" s="10" t="s">
        <v>134</v>
      </c>
      <c r="E74" s="11" t="n">
        <v>750000</v>
      </c>
      <c r="F74" s="9" t="n">
        <v>0</v>
      </c>
      <c r="G74" s="11" t="n">
        <v>0</v>
      </c>
      <c r="H74" s="10" t="s">
        <v>21</v>
      </c>
      <c r="I74" s="10" t="s">
        <v>49</v>
      </c>
      <c r="J74" s="10" t="s">
        <v>23</v>
      </c>
      <c r="K74" s="10" t="s">
        <v>129</v>
      </c>
      <c r="L74" s="10" t="s">
        <v>89</v>
      </c>
      <c r="M74" s="10" t="s">
        <v>135</v>
      </c>
      <c r="N74" s="12" t="n">
        <v>1</v>
      </c>
      <c r="O74" s="11" t="n">
        <v>481000</v>
      </c>
      <c r="P74" s="13" t="n">
        <v>3.57</v>
      </c>
    </row>
    <row r="75" customFormat="false" ht="15" hidden="false" customHeight="false" outlineLevel="0" collapsed="false">
      <c r="A75" s="4" t="n">
        <v>205</v>
      </c>
      <c r="B75" s="4"/>
      <c r="C75" s="5" t="s">
        <v>221</v>
      </c>
      <c r="D75" s="4"/>
      <c r="E75" s="6" t="n">
        <v>0</v>
      </c>
      <c r="F75" s="4" t="n">
        <v>0</v>
      </c>
      <c r="G75" s="6" t="n">
        <v>0</v>
      </c>
      <c r="H75" s="5" t="s">
        <v>222</v>
      </c>
      <c r="I75" s="5" t="s">
        <v>223</v>
      </c>
      <c r="J75" s="5" t="s">
        <v>224</v>
      </c>
      <c r="K75" s="5" t="s">
        <v>225</v>
      </c>
      <c r="L75" s="4"/>
      <c r="M75" s="5" t="s">
        <v>161</v>
      </c>
      <c r="N75" s="7" t="n">
        <v>0</v>
      </c>
      <c r="O75" s="6" t="n">
        <v>0</v>
      </c>
      <c r="P75" s="8" t="n">
        <v>9.93</v>
      </c>
    </row>
    <row r="76" customFormat="false" ht="15" hidden="false" customHeight="false" outlineLevel="0" collapsed="false">
      <c r="A76" s="9" t="n">
        <v>206</v>
      </c>
      <c r="B76" s="9"/>
      <c r="C76" s="10" t="s">
        <v>226</v>
      </c>
      <c r="D76" s="9"/>
      <c r="E76" s="11" t="n">
        <v>0</v>
      </c>
      <c r="F76" s="9" t="n">
        <v>0</v>
      </c>
      <c r="G76" s="11" t="n">
        <v>0</v>
      </c>
      <c r="H76" s="10" t="s">
        <v>222</v>
      </c>
      <c r="I76" s="10" t="s">
        <v>227</v>
      </c>
      <c r="J76" s="10" t="s">
        <v>228</v>
      </c>
      <c r="K76" s="10" t="s">
        <v>229</v>
      </c>
      <c r="L76" s="9"/>
      <c r="M76" s="10" t="s">
        <v>161</v>
      </c>
      <c r="N76" s="12" t="n">
        <v>0</v>
      </c>
      <c r="O76" s="11" t="n">
        <v>0</v>
      </c>
      <c r="P76" s="13" t="n">
        <v>11.03</v>
      </c>
    </row>
    <row r="77" customFormat="false" ht="15" hidden="false" customHeight="false" outlineLevel="0" collapsed="false">
      <c r="A77" s="4" t="n">
        <v>207</v>
      </c>
      <c r="B77" s="4" t="s">
        <v>230</v>
      </c>
      <c r="C77" s="5" t="s">
        <v>231</v>
      </c>
      <c r="D77" s="5" t="s">
        <v>43</v>
      </c>
      <c r="E77" s="6" t="n">
        <v>0</v>
      </c>
      <c r="F77" s="4" t="n">
        <v>0</v>
      </c>
      <c r="G77" s="6" t="n">
        <v>0</v>
      </c>
      <c r="H77" s="5" t="s">
        <v>222</v>
      </c>
      <c r="I77" s="5" t="s">
        <v>225</v>
      </c>
      <c r="J77" s="5" t="s">
        <v>56</v>
      </c>
      <c r="K77" s="5" t="s">
        <v>225</v>
      </c>
      <c r="L77" s="5" t="s">
        <v>25</v>
      </c>
      <c r="M77" s="5" t="s">
        <v>135</v>
      </c>
      <c r="N77" s="7" t="n">
        <v>0</v>
      </c>
      <c r="O77" s="6" t="n">
        <v>0</v>
      </c>
      <c r="P77" s="8" t="n">
        <v>2.5773</v>
      </c>
    </row>
    <row r="78" customFormat="false" ht="15" hidden="false" customHeight="false" outlineLevel="0" collapsed="false">
      <c r="A78" s="9" t="n">
        <v>208</v>
      </c>
      <c r="B78" s="9" t="s">
        <v>232</v>
      </c>
      <c r="C78" s="10" t="s">
        <v>233</v>
      </c>
      <c r="D78" s="10" t="s">
        <v>20</v>
      </c>
      <c r="E78" s="11" t="n">
        <v>138718</v>
      </c>
      <c r="F78" s="9" t="n">
        <v>1</v>
      </c>
      <c r="G78" s="11" t="n">
        <v>138718</v>
      </c>
      <c r="H78" s="10" t="s">
        <v>32</v>
      </c>
      <c r="I78" s="10" t="s">
        <v>82</v>
      </c>
      <c r="J78" s="10" t="s">
        <v>83</v>
      </c>
      <c r="K78" s="10" t="s">
        <v>84</v>
      </c>
      <c r="L78" s="10" t="s">
        <v>89</v>
      </c>
      <c r="M78" s="10" t="s">
        <v>36</v>
      </c>
      <c r="N78" s="12" t="n">
        <v>0</v>
      </c>
      <c r="O78" s="11" t="n">
        <v>83230.8</v>
      </c>
      <c r="P78" s="13" t="n">
        <v>16.0075</v>
      </c>
    </row>
    <row r="79" customFormat="false" ht="15" hidden="false" customHeight="false" outlineLevel="0" collapsed="false">
      <c r="A79" s="4" t="n">
        <v>209</v>
      </c>
      <c r="B79" s="4" t="s">
        <v>234</v>
      </c>
      <c r="C79" s="5" t="s">
        <v>235</v>
      </c>
      <c r="D79" s="5" t="s">
        <v>134</v>
      </c>
      <c r="E79" s="6" t="n">
        <v>128000</v>
      </c>
      <c r="F79" s="4" t="n">
        <v>0</v>
      </c>
      <c r="G79" s="6" t="n">
        <v>0</v>
      </c>
      <c r="H79" s="5" t="s">
        <v>32</v>
      </c>
      <c r="I79" s="5" t="s">
        <v>82</v>
      </c>
      <c r="J79" s="5" t="s">
        <v>83</v>
      </c>
      <c r="K79" s="5" t="s">
        <v>236</v>
      </c>
      <c r="L79" s="5" t="s">
        <v>89</v>
      </c>
      <c r="M79" s="5" t="s">
        <v>36</v>
      </c>
      <c r="N79" s="7" t="n">
        <v>0</v>
      </c>
      <c r="O79" s="6" t="n">
        <v>76800</v>
      </c>
      <c r="P79" s="8" t="n">
        <v>10.69</v>
      </c>
    </row>
    <row r="80" customFormat="false" ht="15" hidden="false" customHeight="false" outlineLevel="0" collapsed="false">
      <c r="A80" s="9" t="n">
        <v>210</v>
      </c>
      <c r="B80" s="9"/>
      <c r="C80" s="10" t="s">
        <v>237</v>
      </c>
      <c r="D80" s="9"/>
      <c r="E80" s="11" t="n">
        <v>0</v>
      </c>
      <c r="F80" s="9" t="n">
        <v>0</v>
      </c>
      <c r="G80" s="11" t="n">
        <v>0</v>
      </c>
      <c r="H80" s="10" t="s">
        <v>54</v>
      </c>
      <c r="I80" s="10" t="s">
        <v>238</v>
      </c>
      <c r="J80" s="10" t="s">
        <v>239</v>
      </c>
      <c r="K80" s="10" t="s">
        <v>240</v>
      </c>
      <c r="L80" s="9"/>
      <c r="M80" s="10" t="s">
        <v>161</v>
      </c>
      <c r="N80" s="12" t="n">
        <v>0</v>
      </c>
      <c r="O80" s="11" t="n">
        <v>0</v>
      </c>
      <c r="P80" s="13" t="n">
        <v>38.2556</v>
      </c>
    </row>
    <row r="81" customFormat="false" ht="15" hidden="false" customHeight="false" outlineLevel="0" collapsed="false">
      <c r="A81" s="4" t="n">
        <v>211</v>
      </c>
      <c r="B81" s="4" t="s">
        <v>241</v>
      </c>
      <c r="C81" s="5" t="s">
        <v>242</v>
      </c>
      <c r="D81" s="5" t="s">
        <v>157</v>
      </c>
      <c r="E81" s="6" t="n">
        <v>297500</v>
      </c>
      <c r="F81" s="4" t="n">
        <v>0</v>
      </c>
      <c r="G81" s="6" t="n">
        <v>0</v>
      </c>
      <c r="H81" s="5" t="s">
        <v>54</v>
      </c>
      <c r="I81" s="5" t="s">
        <v>181</v>
      </c>
      <c r="J81" s="5" t="s">
        <v>23</v>
      </c>
      <c r="K81" s="5" t="s">
        <v>78</v>
      </c>
      <c r="L81" s="5" t="s">
        <v>25</v>
      </c>
      <c r="M81" s="5" t="s">
        <v>135</v>
      </c>
      <c r="N81" s="7" t="n">
        <v>0</v>
      </c>
      <c r="O81" s="6" t="n">
        <v>297500</v>
      </c>
      <c r="P81" s="8" t="n">
        <v>6.06</v>
      </c>
    </row>
    <row r="82" customFormat="false" ht="15" hidden="false" customHeight="false" outlineLevel="0" collapsed="false">
      <c r="A82" s="9" t="n">
        <v>212</v>
      </c>
      <c r="B82" s="9" t="s">
        <v>243</v>
      </c>
      <c r="C82" s="10" t="s">
        <v>244</v>
      </c>
      <c r="D82" s="10" t="s">
        <v>20</v>
      </c>
      <c r="E82" s="11" t="n">
        <v>130000</v>
      </c>
      <c r="F82" s="9" t="n">
        <v>0</v>
      </c>
      <c r="G82" s="11" t="n">
        <v>0</v>
      </c>
      <c r="H82" s="10" t="s">
        <v>32</v>
      </c>
      <c r="I82" s="10" t="s">
        <v>82</v>
      </c>
      <c r="J82" s="10" t="s">
        <v>83</v>
      </c>
      <c r="K82" s="10" t="s">
        <v>84</v>
      </c>
      <c r="L82" s="10" t="s">
        <v>25</v>
      </c>
      <c r="M82" s="10" t="s">
        <v>135</v>
      </c>
      <c r="N82" s="12" t="n">
        <v>0</v>
      </c>
      <c r="O82" s="11" t="n">
        <v>60600</v>
      </c>
      <c r="P82" s="13" t="n">
        <v>5.65</v>
      </c>
    </row>
    <row r="83" customFormat="false" ht="15" hidden="false" customHeight="false" outlineLevel="0" collapsed="false">
      <c r="A83" s="4" t="n">
        <v>213</v>
      </c>
      <c r="B83" s="4" t="s">
        <v>245</v>
      </c>
      <c r="C83" s="5" t="s">
        <v>246</v>
      </c>
      <c r="D83" s="5" t="s">
        <v>134</v>
      </c>
      <c r="E83" s="6" t="n">
        <v>500000</v>
      </c>
      <c r="F83" s="4" t="n">
        <v>0</v>
      </c>
      <c r="G83" s="6" t="n">
        <v>0</v>
      </c>
      <c r="H83" s="5" t="s">
        <v>21</v>
      </c>
      <c r="I83" s="5" t="s">
        <v>22</v>
      </c>
      <c r="J83" s="5" t="s">
        <v>23</v>
      </c>
      <c r="K83" s="5" t="s">
        <v>129</v>
      </c>
      <c r="L83" s="5" t="s">
        <v>89</v>
      </c>
      <c r="M83" s="5" t="s">
        <v>36</v>
      </c>
      <c r="N83" s="7" t="n">
        <v>0</v>
      </c>
      <c r="O83" s="6" t="n">
        <v>454800</v>
      </c>
      <c r="P83" s="8" t="n">
        <v>13.36</v>
      </c>
    </row>
    <row r="84" customFormat="false" ht="15" hidden="false" customHeight="false" outlineLevel="0" collapsed="false">
      <c r="A84" s="9" t="n">
        <v>214</v>
      </c>
      <c r="B84" s="9" t="s">
        <v>247</v>
      </c>
      <c r="C84" s="10" t="s">
        <v>248</v>
      </c>
      <c r="D84" s="10" t="s">
        <v>20</v>
      </c>
      <c r="E84" s="11" t="n">
        <v>5000000</v>
      </c>
      <c r="F84" s="9" t="n">
        <v>0</v>
      </c>
      <c r="G84" s="11" t="n">
        <v>0</v>
      </c>
      <c r="H84" s="10" t="s">
        <v>249</v>
      </c>
      <c r="I84" s="10" t="s">
        <v>250</v>
      </c>
      <c r="J84" s="10" t="s">
        <v>239</v>
      </c>
      <c r="K84" s="10" t="s">
        <v>251</v>
      </c>
      <c r="L84" s="10" t="s">
        <v>25</v>
      </c>
      <c r="M84" s="10" t="s">
        <v>197</v>
      </c>
      <c r="N84" s="12" t="n">
        <v>0</v>
      </c>
      <c r="O84" s="11" t="n">
        <v>3777740</v>
      </c>
      <c r="P84" s="13" t="n">
        <v>34.8318</v>
      </c>
    </row>
    <row r="85" customFormat="false" ht="15" hidden="false" customHeight="false" outlineLevel="0" collapsed="false">
      <c r="A85" s="4" t="n">
        <v>215</v>
      </c>
      <c r="B85" s="4" t="s">
        <v>252</v>
      </c>
      <c r="C85" s="5" t="s">
        <v>253</v>
      </c>
      <c r="D85" s="5" t="s">
        <v>43</v>
      </c>
      <c r="E85" s="6" t="n">
        <v>40000</v>
      </c>
      <c r="F85" s="4" t="n">
        <v>0</v>
      </c>
      <c r="G85" s="6" t="n">
        <v>0</v>
      </c>
      <c r="H85" s="5" t="s">
        <v>96</v>
      </c>
      <c r="I85" s="5" t="s">
        <v>55</v>
      </c>
      <c r="J85" s="5" t="s">
        <v>56</v>
      </c>
      <c r="K85" s="5" t="s">
        <v>57</v>
      </c>
      <c r="L85" s="5" t="s">
        <v>89</v>
      </c>
      <c r="M85" s="5" t="s">
        <v>36</v>
      </c>
      <c r="N85" s="7" t="n">
        <v>0</v>
      </c>
      <c r="O85" s="6" t="n">
        <v>31690</v>
      </c>
      <c r="P85" s="8" t="n">
        <v>0.5045</v>
      </c>
    </row>
    <row r="86" customFormat="false" ht="15" hidden="false" customHeight="false" outlineLevel="0" collapsed="false">
      <c r="A86" s="9" t="n">
        <v>216</v>
      </c>
      <c r="B86" s="9" t="s">
        <v>254</v>
      </c>
      <c r="C86" s="10" t="s">
        <v>255</v>
      </c>
      <c r="D86" s="10" t="s">
        <v>43</v>
      </c>
      <c r="E86" s="11" t="n">
        <v>4546000</v>
      </c>
      <c r="F86" s="9" t="n">
        <v>0</v>
      </c>
      <c r="G86" s="11" t="n">
        <v>0</v>
      </c>
      <c r="H86" s="10" t="s">
        <v>185</v>
      </c>
      <c r="I86" s="10" t="s">
        <v>236</v>
      </c>
      <c r="J86" s="10" t="s">
        <v>34</v>
      </c>
      <c r="K86" s="10" t="s">
        <v>46</v>
      </c>
      <c r="L86" s="10" t="s">
        <v>89</v>
      </c>
      <c r="M86" s="10" t="s">
        <v>36</v>
      </c>
      <c r="N86" s="12" t="n">
        <v>0.2082</v>
      </c>
      <c r="O86" s="11" t="n">
        <v>562848</v>
      </c>
      <c r="P86" s="13" t="n">
        <v>19.6072</v>
      </c>
    </row>
    <row r="87" customFormat="false" ht="15" hidden="false" customHeight="false" outlineLevel="0" collapsed="false">
      <c r="A87" s="4" t="n">
        <v>217</v>
      </c>
      <c r="B87" s="4" t="s">
        <v>256</v>
      </c>
      <c r="C87" s="5" t="s">
        <v>257</v>
      </c>
      <c r="D87" s="5" t="s">
        <v>20</v>
      </c>
      <c r="E87" s="6" t="n">
        <v>70200</v>
      </c>
      <c r="F87" s="4" t="n">
        <v>0</v>
      </c>
      <c r="G87" s="6" t="n">
        <v>0</v>
      </c>
      <c r="H87" s="5" t="s">
        <v>32</v>
      </c>
      <c r="I87" s="5" t="s">
        <v>236</v>
      </c>
      <c r="J87" s="5" t="s">
        <v>83</v>
      </c>
      <c r="K87" s="5" t="s">
        <v>236</v>
      </c>
      <c r="L87" s="5" t="s">
        <v>25</v>
      </c>
      <c r="M87" s="5" t="s">
        <v>135</v>
      </c>
      <c r="N87" s="7" t="n">
        <v>0</v>
      </c>
      <c r="O87" s="6" t="n">
        <v>23450</v>
      </c>
      <c r="P87" s="8" t="n">
        <v>0.88</v>
      </c>
    </row>
    <row r="88" customFormat="false" ht="15" hidden="false" customHeight="false" outlineLevel="0" collapsed="false">
      <c r="A88" s="9" t="n">
        <v>218</v>
      </c>
      <c r="B88" s="9" t="s">
        <v>258</v>
      </c>
      <c r="C88" s="10" t="s">
        <v>259</v>
      </c>
      <c r="D88" s="10" t="s">
        <v>20</v>
      </c>
      <c r="E88" s="11" t="n">
        <v>56500</v>
      </c>
      <c r="F88" s="9" t="n">
        <v>0</v>
      </c>
      <c r="G88" s="11" t="n">
        <v>0</v>
      </c>
      <c r="H88" s="10" t="s">
        <v>21</v>
      </c>
      <c r="I88" s="10" t="s">
        <v>260</v>
      </c>
      <c r="J88" s="10" t="s">
        <v>23</v>
      </c>
      <c r="K88" s="10" t="s">
        <v>24</v>
      </c>
      <c r="L88" s="10" t="s">
        <v>79</v>
      </c>
      <c r="M88" s="10" t="s">
        <v>79</v>
      </c>
      <c r="N88" s="12" t="n">
        <v>0.75</v>
      </c>
      <c r="O88" s="11" t="n">
        <v>35000</v>
      </c>
      <c r="P88" s="13" t="n">
        <v>2.02</v>
      </c>
    </row>
    <row r="89" customFormat="false" ht="15" hidden="false" customHeight="false" outlineLevel="0" collapsed="false">
      <c r="A89" s="4" t="n">
        <v>219</v>
      </c>
      <c r="B89" s="4" t="s">
        <v>261</v>
      </c>
      <c r="C89" s="4" t="s">
        <v>262</v>
      </c>
      <c r="D89" s="5" t="s">
        <v>20</v>
      </c>
      <c r="E89" s="6" t="n">
        <v>398000</v>
      </c>
      <c r="F89" s="4" t="n">
        <v>0</v>
      </c>
      <c r="G89" s="6" t="n">
        <v>0</v>
      </c>
      <c r="H89" s="5" t="s">
        <v>21</v>
      </c>
      <c r="I89" s="5" t="s">
        <v>49</v>
      </c>
      <c r="J89" s="5" t="s">
        <v>239</v>
      </c>
      <c r="K89" s="5" t="s">
        <v>194</v>
      </c>
      <c r="L89" s="5" t="s">
        <v>89</v>
      </c>
      <c r="M89" s="5" t="s">
        <v>36</v>
      </c>
      <c r="N89" s="7" t="n">
        <v>0.08</v>
      </c>
      <c r="O89" s="6" t="n">
        <v>28600</v>
      </c>
      <c r="P89" s="8" t="n">
        <v>2.3291</v>
      </c>
    </row>
    <row r="90" customFormat="false" ht="15" hidden="false" customHeight="false" outlineLevel="0" collapsed="false">
      <c r="A90" s="9" t="n">
        <v>220</v>
      </c>
      <c r="B90" s="9" t="s">
        <v>263</v>
      </c>
      <c r="C90" s="10" t="s">
        <v>264</v>
      </c>
      <c r="D90" s="10" t="s">
        <v>20</v>
      </c>
      <c r="E90" s="11" t="n">
        <v>40000</v>
      </c>
      <c r="F90" s="9" t="n">
        <v>0</v>
      </c>
      <c r="G90" s="11" t="n">
        <v>0</v>
      </c>
      <c r="H90" s="10" t="s">
        <v>21</v>
      </c>
      <c r="I90" s="10" t="s">
        <v>49</v>
      </c>
      <c r="J90" s="10" t="s">
        <v>34</v>
      </c>
      <c r="K90" s="10" t="s">
        <v>35</v>
      </c>
      <c r="L90" s="10" t="s">
        <v>89</v>
      </c>
      <c r="M90" s="10" t="s">
        <v>36</v>
      </c>
      <c r="N90" s="12" t="n">
        <v>0</v>
      </c>
      <c r="O90" s="11" t="n">
        <v>17824</v>
      </c>
      <c r="P90" s="13" t="n">
        <v>1.35</v>
      </c>
    </row>
    <row r="91" customFormat="false" ht="15" hidden="false" customHeight="false" outlineLevel="0" collapsed="false">
      <c r="A91" s="4" t="n">
        <v>221</v>
      </c>
      <c r="B91" s="4" t="s">
        <v>265</v>
      </c>
      <c r="C91" s="5" t="s">
        <v>266</v>
      </c>
      <c r="D91" s="5" t="s">
        <v>43</v>
      </c>
      <c r="E91" s="6" t="n">
        <v>7500</v>
      </c>
      <c r="F91" s="4" t="n">
        <v>0</v>
      </c>
      <c r="G91" s="6" t="n">
        <v>0</v>
      </c>
      <c r="H91" s="5" t="s">
        <v>21</v>
      </c>
      <c r="I91" s="5" t="s">
        <v>120</v>
      </c>
      <c r="J91" s="5" t="s">
        <v>23</v>
      </c>
      <c r="K91" s="5" t="s">
        <v>24</v>
      </c>
      <c r="L91" s="5" t="s">
        <v>79</v>
      </c>
      <c r="M91" s="5" t="s">
        <v>79</v>
      </c>
      <c r="N91" s="7" t="n">
        <v>0</v>
      </c>
      <c r="O91" s="6" t="n">
        <v>7500</v>
      </c>
      <c r="P91" s="8" t="n">
        <v>0.15</v>
      </c>
    </row>
    <row r="92" customFormat="false" ht="15" hidden="false" customHeight="false" outlineLevel="0" collapsed="false">
      <c r="A92" s="9" t="n">
        <v>222</v>
      </c>
      <c r="B92" s="9" t="s">
        <v>267</v>
      </c>
      <c r="C92" s="10" t="s">
        <v>268</v>
      </c>
      <c r="D92" s="10" t="s">
        <v>43</v>
      </c>
      <c r="E92" s="11" t="n">
        <v>58630</v>
      </c>
      <c r="F92" s="9" t="n">
        <v>0</v>
      </c>
      <c r="G92" s="11" t="n">
        <v>0</v>
      </c>
      <c r="H92" s="10" t="s">
        <v>96</v>
      </c>
      <c r="I92" s="10" t="s">
        <v>55</v>
      </c>
      <c r="J92" s="10" t="s">
        <v>56</v>
      </c>
      <c r="K92" s="10" t="s">
        <v>57</v>
      </c>
      <c r="L92" s="10" t="s">
        <v>89</v>
      </c>
      <c r="M92" s="10" t="s">
        <v>36</v>
      </c>
      <c r="N92" s="12" t="n">
        <v>0</v>
      </c>
      <c r="O92" s="11" t="n">
        <v>43130</v>
      </c>
      <c r="P92" s="13" t="n">
        <v>1.8827</v>
      </c>
    </row>
    <row r="93" customFormat="false" ht="15" hidden="false" customHeight="false" outlineLevel="0" collapsed="false">
      <c r="A93" s="4" t="n">
        <v>223</v>
      </c>
      <c r="B93" s="4" t="s">
        <v>269</v>
      </c>
      <c r="C93" s="5" t="s">
        <v>270</v>
      </c>
      <c r="D93" s="5" t="s">
        <v>43</v>
      </c>
      <c r="E93" s="6" t="n">
        <v>99450</v>
      </c>
      <c r="F93" s="4" t="n">
        <v>0</v>
      </c>
      <c r="G93" s="6" t="n">
        <v>0</v>
      </c>
      <c r="H93" s="4" t="s">
        <v>271</v>
      </c>
      <c r="I93" s="5" t="s">
        <v>45</v>
      </c>
      <c r="J93" s="5" t="s">
        <v>34</v>
      </c>
      <c r="K93" s="5" t="s">
        <v>46</v>
      </c>
      <c r="L93" s="5" t="s">
        <v>25</v>
      </c>
      <c r="M93" s="5" t="s">
        <v>135</v>
      </c>
      <c r="N93" s="7" t="n">
        <v>0</v>
      </c>
      <c r="O93" s="6" t="n">
        <v>99450</v>
      </c>
      <c r="P93" s="8" t="n">
        <v>1.7739</v>
      </c>
    </row>
    <row r="94" customFormat="false" ht="15" hidden="false" customHeight="false" outlineLevel="0" collapsed="false">
      <c r="A94" s="9" t="n">
        <v>224</v>
      </c>
      <c r="B94" s="9" t="s">
        <v>272</v>
      </c>
      <c r="C94" s="10" t="s">
        <v>273</v>
      </c>
      <c r="D94" s="10" t="s">
        <v>134</v>
      </c>
      <c r="E94" s="11" t="n">
        <v>1350000</v>
      </c>
      <c r="F94" s="9" t="n">
        <v>0</v>
      </c>
      <c r="G94" s="11" t="n">
        <v>0</v>
      </c>
      <c r="H94" s="10" t="s">
        <v>21</v>
      </c>
      <c r="I94" s="10" t="s">
        <v>67</v>
      </c>
      <c r="J94" s="10" t="s">
        <v>23</v>
      </c>
      <c r="K94" s="10" t="s">
        <v>129</v>
      </c>
      <c r="L94" s="10" t="s">
        <v>89</v>
      </c>
      <c r="M94" s="10" t="s">
        <v>197</v>
      </c>
      <c r="N94" s="12" t="n">
        <v>0</v>
      </c>
      <c r="O94" s="11" t="n">
        <v>561263</v>
      </c>
      <c r="P94" s="13" t="n">
        <v>3.81</v>
      </c>
    </row>
    <row r="95" customFormat="false" ht="15" hidden="false" customHeight="false" outlineLevel="0" collapsed="false">
      <c r="A95" s="4" t="n">
        <v>225</v>
      </c>
      <c r="B95" s="4" t="s">
        <v>274</v>
      </c>
      <c r="C95" s="5" t="s">
        <v>275</v>
      </c>
      <c r="D95" s="5" t="s">
        <v>134</v>
      </c>
      <c r="E95" s="6" t="n">
        <v>1400000</v>
      </c>
      <c r="F95" s="4" t="n">
        <v>0</v>
      </c>
      <c r="G95" s="6" t="n">
        <v>0</v>
      </c>
      <c r="H95" s="5" t="s">
        <v>21</v>
      </c>
      <c r="I95" s="5" t="s">
        <v>67</v>
      </c>
      <c r="J95" s="5" t="s">
        <v>23</v>
      </c>
      <c r="K95" s="5" t="s">
        <v>129</v>
      </c>
      <c r="L95" s="5" t="s">
        <v>89</v>
      </c>
      <c r="M95" s="5" t="s">
        <v>197</v>
      </c>
      <c r="N95" s="7" t="n">
        <v>0</v>
      </c>
      <c r="O95" s="6" t="n">
        <v>705860</v>
      </c>
      <c r="P95" s="8" t="n">
        <v>8.3718</v>
      </c>
    </row>
    <row r="96" customFormat="false" ht="15" hidden="false" customHeight="false" outlineLevel="0" collapsed="false">
      <c r="A96" s="9" t="n">
        <v>228</v>
      </c>
      <c r="B96" s="9" t="s">
        <v>276</v>
      </c>
      <c r="C96" s="10" t="s">
        <v>277</v>
      </c>
      <c r="D96" s="10" t="s">
        <v>157</v>
      </c>
      <c r="E96" s="11" t="n">
        <v>0</v>
      </c>
      <c r="F96" s="9" t="n">
        <v>0</v>
      </c>
      <c r="G96" s="11" t="n">
        <v>0</v>
      </c>
      <c r="H96" s="10" t="s">
        <v>148</v>
      </c>
      <c r="I96" s="10" t="s">
        <v>278</v>
      </c>
      <c r="J96" s="10" t="s">
        <v>148</v>
      </c>
      <c r="K96" s="10" t="s">
        <v>225</v>
      </c>
      <c r="L96" s="10" t="s">
        <v>25</v>
      </c>
      <c r="M96" s="10" t="s">
        <v>135</v>
      </c>
      <c r="N96" s="12" t="n">
        <v>0</v>
      </c>
      <c r="O96" s="11" t="n">
        <v>0</v>
      </c>
      <c r="P96" s="13" t="n">
        <v>0.5</v>
      </c>
    </row>
    <row r="97" customFormat="false" ht="15" hidden="false" customHeight="false" outlineLevel="0" collapsed="false">
      <c r="A97" s="4" t="n">
        <v>229</v>
      </c>
      <c r="B97" s="4" t="s">
        <v>279</v>
      </c>
      <c r="C97" s="4" t="s">
        <v>280</v>
      </c>
      <c r="D97" s="5" t="s">
        <v>157</v>
      </c>
      <c r="E97" s="6" t="n">
        <v>0</v>
      </c>
      <c r="F97" s="4" t="n">
        <v>0</v>
      </c>
      <c r="G97" s="6" t="n">
        <v>0</v>
      </c>
      <c r="H97" s="5" t="s">
        <v>148</v>
      </c>
      <c r="I97" s="5" t="s">
        <v>278</v>
      </c>
      <c r="J97" s="5" t="s">
        <v>148</v>
      </c>
      <c r="K97" s="5" t="s">
        <v>281</v>
      </c>
      <c r="L97" s="5" t="s">
        <v>25</v>
      </c>
      <c r="M97" s="5" t="s">
        <v>135</v>
      </c>
      <c r="N97" s="7" t="n">
        <v>0</v>
      </c>
      <c r="O97" s="6" t="n">
        <v>0</v>
      </c>
      <c r="P97" s="8" t="n">
        <v>0</v>
      </c>
    </row>
    <row r="98" customFormat="false" ht="15" hidden="false" customHeight="false" outlineLevel="0" collapsed="false">
      <c r="A98" s="9" t="n">
        <v>230</v>
      </c>
      <c r="B98" s="9" t="s">
        <v>282</v>
      </c>
      <c r="C98" s="9" t="s">
        <v>283</v>
      </c>
      <c r="D98" s="10" t="s">
        <v>20</v>
      </c>
      <c r="E98" s="11" t="n">
        <v>342000</v>
      </c>
      <c r="F98" s="9" t="n">
        <v>0</v>
      </c>
      <c r="G98" s="11" t="n">
        <v>0</v>
      </c>
      <c r="H98" s="10" t="s">
        <v>32</v>
      </c>
      <c r="I98" s="10" t="s">
        <v>207</v>
      </c>
      <c r="J98" s="10" t="s">
        <v>34</v>
      </c>
      <c r="K98" s="10" t="s">
        <v>35</v>
      </c>
      <c r="L98" s="10" t="s">
        <v>89</v>
      </c>
      <c r="M98" s="10" t="s">
        <v>36</v>
      </c>
      <c r="N98" s="12" t="n">
        <v>0</v>
      </c>
      <c r="O98" s="11" t="n">
        <v>167100</v>
      </c>
      <c r="P98" s="13" t="n">
        <v>1.0682</v>
      </c>
    </row>
    <row r="99" customFormat="false" ht="15" hidden="false" customHeight="false" outlineLevel="0" collapsed="false">
      <c r="A99" s="4" t="n">
        <v>231</v>
      </c>
      <c r="B99" s="4" t="s">
        <v>284</v>
      </c>
      <c r="C99" s="5" t="s">
        <v>285</v>
      </c>
      <c r="D99" s="5" t="s">
        <v>43</v>
      </c>
      <c r="E99" s="6" t="n">
        <v>371800</v>
      </c>
      <c r="F99" s="4" t="n">
        <v>0</v>
      </c>
      <c r="G99" s="6" t="n">
        <v>0</v>
      </c>
      <c r="H99" s="5" t="s">
        <v>21</v>
      </c>
      <c r="I99" s="5" t="s">
        <v>120</v>
      </c>
      <c r="J99" s="5" t="s">
        <v>286</v>
      </c>
      <c r="K99" s="5" t="s">
        <v>110</v>
      </c>
      <c r="L99" s="5" t="s">
        <v>25</v>
      </c>
      <c r="M99" s="5" t="s">
        <v>26</v>
      </c>
      <c r="N99" s="7" t="n">
        <v>0</v>
      </c>
      <c r="O99" s="6" t="n">
        <v>371800</v>
      </c>
      <c r="P99" s="8" t="n">
        <v>9.1932</v>
      </c>
    </row>
    <row r="100" customFormat="false" ht="15" hidden="false" customHeight="false" outlineLevel="0" collapsed="false">
      <c r="A100" s="9" t="n">
        <v>232</v>
      </c>
      <c r="B100" s="9"/>
      <c r="C100" s="10" t="s">
        <v>287</v>
      </c>
      <c r="D100" s="9"/>
      <c r="E100" s="11" t="n">
        <v>0</v>
      </c>
      <c r="F100" s="9" t="n">
        <v>0</v>
      </c>
      <c r="G100" s="11" t="n">
        <v>0</v>
      </c>
      <c r="H100" s="10" t="s">
        <v>54</v>
      </c>
      <c r="I100" s="10" t="s">
        <v>181</v>
      </c>
      <c r="J100" s="10" t="s">
        <v>288</v>
      </c>
      <c r="K100" s="10" t="s">
        <v>181</v>
      </c>
      <c r="L100" s="9"/>
      <c r="M100" s="10" t="s">
        <v>161</v>
      </c>
      <c r="N100" s="12" t="n">
        <v>0</v>
      </c>
      <c r="O100" s="11" t="n">
        <v>0</v>
      </c>
      <c r="P100" s="13" t="n">
        <v>0.2273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81"/>
    <col collapsed="false" customWidth="true" hidden="false" outlineLevel="0" max="4" min="2" style="0" width="13.2"/>
    <col collapsed="false" customWidth="true" hidden="false" outlineLevel="0" max="5" min="5" style="0" width="21.6"/>
    <col collapsed="false" customWidth="true" hidden="false" outlineLevel="0" max="7" min="6" style="0" width="13.2"/>
    <col collapsed="false" customWidth="true" hidden="false" outlineLevel="0" max="8" min="8" style="0" width="15.6"/>
    <col collapsed="false" customWidth="true" hidden="false" outlineLevel="0" max="9" min="9" style="0" width="24"/>
  </cols>
  <sheetData>
    <row r="1" customFormat="false" ht="15" hidden="false" customHeight="false" outlineLevel="0" collapsed="false">
      <c r="A1" s="1" t="s">
        <v>289</v>
      </c>
    </row>
    <row r="3" customFormat="false" ht="15" hidden="false" customHeight="false" outlineLevel="0" collapsed="false">
      <c r="A3" s="3" t="s">
        <v>5</v>
      </c>
      <c r="B3" s="3" t="s">
        <v>290</v>
      </c>
      <c r="C3" s="3" t="s">
        <v>291</v>
      </c>
      <c r="D3" s="3" t="s">
        <v>292</v>
      </c>
      <c r="E3" s="3" t="s">
        <v>293</v>
      </c>
      <c r="F3" s="3" t="s">
        <v>294</v>
      </c>
      <c r="G3" s="3" t="s">
        <v>295</v>
      </c>
      <c r="H3" s="3" t="s">
        <v>296</v>
      </c>
      <c r="I3" s="3" t="s">
        <v>297</v>
      </c>
    </row>
    <row r="4" customFormat="false" ht="15" hidden="false" customHeight="false" outlineLevel="0" collapsed="false">
      <c r="A4" s="5" t="s">
        <v>157</v>
      </c>
      <c r="B4" s="4" t="n">
        <v>6</v>
      </c>
      <c r="C4" s="6" t="n">
        <v>1358000</v>
      </c>
      <c r="D4" s="6" t="n">
        <v>0</v>
      </c>
      <c r="E4" s="7" t="n">
        <v>0</v>
      </c>
      <c r="F4" s="6" t="n">
        <v>1358000</v>
      </c>
      <c r="G4" s="6" t="n">
        <v>0</v>
      </c>
      <c r="H4" s="8" t="n">
        <v>140.28</v>
      </c>
      <c r="I4" s="7" t="n">
        <v>0</v>
      </c>
    </row>
    <row r="5" customFormat="false" ht="15" hidden="false" customHeight="false" outlineLevel="0" collapsed="false">
      <c r="A5" s="10" t="s">
        <v>43</v>
      </c>
      <c r="B5" s="9" t="n">
        <v>19</v>
      </c>
      <c r="C5" s="11" t="n">
        <v>8584186</v>
      </c>
      <c r="D5" s="11" t="n">
        <v>0</v>
      </c>
      <c r="E5" s="12" t="n">
        <v>0</v>
      </c>
      <c r="F5" s="11" t="n">
        <v>4380774</v>
      </c>
      <c r="G5" s="11" t="n">
        <v>4203412</v>
      </c>
      <c r="H5" s="13" t="n">
        <v>298.22</v>
      </c>
      <c r="I5" s="12" t="n">
        <v>0.0309578947368421</v>
      </c>
    </row>
    <row r="6" customFormat="false" ht="15" hidden="false" customHeight="false" outlineLevel="0" collapsed="false">
      <c r="A6" s="5" t="s">
        <v>20</v>
      </c>
      <c r="B6" s="4" t="n">
        <v>56</v>
      </c>
      <c r="C6" s="6" t="n">
        <v>104655094</v>
      </c>
      <c r="D6" s="6" t="n">
        <v>77368276</v>
      </c>
      <c r="E6" s="7" t="n">
        <v>0.739269088994369</v>
      </c>
      <c r="F6" s="6" t="n">
        <v>34303550.3</v>
      </c>
      <c r="G6" s="6" t="n">
        <v>70351543.7</v>
      </c>
      <c r="H6" s="8" t="n">
        <v>1227.86</v>
      </c>
      <c r="I6" s="7" t="n">
        <v>0.365508928571428</v>
      </c>
    </row>
    <row r="7" customFormat="false" ht="15" hidden="false" customHeight="false" outlineLevel="0" collapsed="false">
      <c r="A7" s="10" t="s">
        <v>134</v>
      </c>
      <c r="B7" s="9" t="n">
        <v>8</v>
      </c>
      <c r="C7" s="11" t="n">
        <v>85248000</v>
      </c>
      <c r="D7" s="11" t="n">
        <v>0</v>
      </c>
      <c r="E7" s="12" t="n">
        <v>0</v>
      </c>
      <c r="F7" s="11" t="n">
        <v>50981923</v>
      </c>
      <c r="G7" s="11" t="n">
        <v>34266077</v>
      </c>
      <c r="H7" s="13" t="n">
        <v>192.51</v>
      </c>
      <c r="I7" s="12" t="n">
        <v>0.1875</v>
      </c>
    </row>
    <row r="8" customFormat="false" ht="15" hidden="false" customHeight="false" outlineLevel="0" collapsed="false">
      <c r="A8" s="14" t="s">
        <v>298</v>
      </c>
      <c r="B8" s="14" t="n">
        <f aca="false">SUM(B4:B7)</f>
        <v>89</v>
      </c>
      <c r="C8" s="15" t="n">
        <f aca="false">SUM(C4:C7)</f>
        <v>199845280</v>
      </c>
      <c r="D8" s="15" t="n">
        <f aca="false">SUM(D4:D7)</f>
        <v>77368276</v>
      </c>
      <c r="E8" s="16" t="n">
        <f aca="false">IF(C8=0,0,D8/C8)</f>
        <v>0.387140872178717</v>
      </c>
      <c r="F8" s="17" t="n">
        <f aca="false">SUM(F4:F7)</f>
        <v>91024247.3</v>
      </c>
      <c r="G8" s="15" t="n">
        <f aca="false">SUM(G4:G7)</f>
        <v>108821032.7</v>
      </c>
      <c r="H8" s="18" t="n">
        <f aca="false">SUM(H4:H7)</f>
        <v>1858.87</v>
      </c>
      <c r="I8" s="14" t="n">
        <f aca="false">IF(C8=0,0,D8/C8)</f>
        <v>0.387140872178717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4" min="2" style="0" width="14.4"/>
    <col collapsed="false" customWidth="true" hidden="false" outlineLevel="0" max="5" min="5" style="0" width="24"/>
    <col collapsed="false" customWidth="true" hidden="false" outlineLevel="0" max="7" min="6" style="0" width="14.4"/>
    <col collapsed="false" customWidth="true" hidden="false" outlineLevel="0" max="8" min="8" style="0" width="15.6"/>
    <col collapsed="false" customWidth="true" hidden="false" outlineLevel="0" max="9" min="9" style="0" width="22.8"/>
  </cols>
  <sheetData>
    <row r="1" customFormat="false" ht="15" hidden="false" customHeight="false" outlineLevel="0" collapsed="false">
      <c r="A1" s="1" t="s">
        <v>299</v>
      </c>
    </row>
    <row r="3" customFormat="false" ht="15" hidden="false" customHeight="false" outlineLevel="0" collapsed="false">
      <c r="A3" s="3" t="s">
        <v>11</v>
      </c>
      <c r="B3" s="3" t="s">
        <v>290</v>
      </c>
      <c r="C3" s="3" t="s">
        <v>291</v>
      </c>
      <c r="D3" s="3" t="s">
        <v>292</v>
      </c>
      <c r="E3" s="3" t="s">
        <v>293</v>
      </c>
      <c r="F3" s="3" t="s">
        <v>294</v>
      </c>
      <c r="G3" s="3" t="s">
        <v>295</v>
      </c>
      <c r="H3" s="3" t="s">
        <v>296</v>
      </c>
      <c r="I3" s="3" t="s">
        <v>297</v>
      </c>
    </row>
    <row r="4" customFormat="false" ht="15" hidden="false" customHeight="false" outlineLevel="0" collapsed="false">
      <c r="A4" s="5" t="s">
        <v>23</v>
      </c>
      <c r="B4" s="4" t="n">
        <v>24</v>
      </c>
      <c r="C4" s="6" t="n">
        <v>137722741</v>
      </c>
      <c r="D4" s="6" t="n">
        <v>39163981</v>
      </c>
      <c r="E4" s="7" t="n">
        <v>0.284368294703051</v>
      </c>
      <c r="F4" s="6" t="n">
        <v>71512965</v>
      </c>
      <c r="G4" s="6" t="n">
        <v>66209776</v>
      </c>
      <c r="H4" s="8" t="n">
        <v>806.73</v>
      </c>
      <c r="I4" s="7" t="n">
        <v>0.687854166666667</v>
      </c>
    </row>
    <row r="5" customFormat="false" ht="15" hidden="false" customHeight="false" outlineLevel="0" collapsed="false">
      <c r="A5" s="10" t="s">
        <v>34</v>
      </c>
      <c r="B5" s="9" t="n">
        <v>24</v>
      </c>
      <c r="C5" s="11" t="n">
        <v>25663116</v>
      </c>
      <c r="D5" s="11" t="n">
        <v>17368250</v>
      </c>
      <c r="E5" s="12" t="n">
        <v>0.67677868891681</v>
      </c>
      <c r="F5" s="11" t="n">
        <v>6304350</v>
      </c>
      <c r="G5" s="11" t="n">
        <v>19358766</v>
      </c>
      <c r="H5" s="13" t="n">
        <v>367.03</v>
      </c>
      <c r="I5" s="12" t="n">
        <v>0.126175</v>
      </c>
    </row>
    <row r="6" customFormat="false" ht="15" hidden="false" customHeight="false" outlineLevel="0" collapsed="false">
      <c r="A6" s="5" t="s">
        <v>56</v>
      </c>
      <c r="B6" s="4" t="n">
        <v>16</v>
      </c>
      <c r="C6" s="6" t="n">
        <v>22892175</v>
      </c>
      <c r="D6" s="6" t="n">
        <v>17864465</v>
      </c>
      <c r="E6" s="7" t="n">
        <v>0.780374298204518</v>
      </c>
      <c r="F6" s="6" t="n">
        <v>4753323.5</v>
      </c>
      <c r="G6" s="6" t="n">
        <v>18138851.5</v>
      </c>
      <c r="H6" s="8" t="n">
        <v>299.5</v>
      </c>
      <c r="I6" s="7" t="n">
        <v>0.06</v>
      </c>
    </row>
    <row r="7" customFormat="false" ht="15" hidden="false" customHeight="false" outlineLevel="0" collapsed="false">
      <c r="A7" s="10" t="s">
        <v>239</v>
      </c>
      <c r="B7" s="9" t="n">
        <v>3</v>
      </c>
      <c r="C7" s="11" t="n">
        <v>5398000</v>
      </c>
      <c r="D7" s="11" t="n">
        <v>0</v>
      </c>
      <c r="E7" s="12" t="n">
        <v>0</v>
      </c>
      <c r="F7" s="11" t="n">
        <v>3806340</v>
      </c>
      <c r="G7" s="11" t="n">
        <v>1591660</v>
      </c>
      <c r="H7" s="13" t="n">
        <v>75.42</v>
      </c>
      <c r="I7" s="12" t="n">
        <v>0.0266666666666667</v>
      </c>
    </row>
    <row r="8" customFormat="false" ht="15" hidden="false" customHeight="false" outlineLevel="0" collapsed="false">
      <c r="A8" s="5" t="s">
        <v>121</v>
      </c>
      <c r="B8" s="4" t="n">
        <v>8</v>
      </c>
      <c r="C8" s="6" t="n">
        <v>3234050</v>
      </c>
      <c r="D8" s="6" t="n">
        <v>190500</v>
      </c>
      <c r="E8" s="7" t="n">
        <v>0.058904469627866</v>
      </c>
      <c r="F8" s="6" t="n">
        <v>2601900</v>
      </c>
      <c r="G8" s="6" t="n">
        <v>632150</v>
      </c>
      <c r="H8" s="8" t="n">
        <v>90.75</v>
      </c>
      <c r="I8" s="7" t="n">
        <v>0.125</v>
      </c>
    </row>
    <row r="9" customFormat="false" ht="15" hidden="false" customHeight="false" outlineLevel="0" collapsed="false">
      <c r="A9" s="10" t="s">
        <v>83</v>
      </c>
      <c r="B9" s="9" t="n">
        <v>6</v>
      </c>
      <c r="C9" s="11" t="n">
        <v>2294398</v>
      </c>
      <c r="D9" s="11" t="n">
        <v>698560</v>
      </c>
      <c r="E9" s="12" t="n">
        <v>0.304463305843188</v>
      </c>
      <c r="F9" s="11" t="n">
        <v>1340568.8</v>
      </c>
      <c r="G9" s="11" t="n">
        <v>953829.2</v>
      </c>
      <c r="H9" s="13" t="n">
        <v>112</v>
      </c>
      <c r="I9" s="12" t="n">
        <v>0</v>
      </c>
    </row>
    <row r="10" customFormat="false" ht="15" hidden="false" customHeight="false" outlineLevel="0" collapsed="false">
      <c r="A10" s="5" t="s">
        <v>109</v>
      </c>
      <c r="B10" s="4" t="n">
        <v>5</v>
      </c>
      <c r="C10" s="6" t="n">
        <v>2269000</v>
      </c>
      <c r="D10" s="6" t="n">
        <v>2082520</v>
      </c>
      <c r="E10" s="7" t="n">
        <v>0.917814014984575</v>
      </c>
      <c r="F10" s="6" t="n">
        <v>333000</v>
      </c>
      <c r="G10" s="6" t="n">
        <v>1936000</v>
      </c>
      <c r="H10" s="8" t="n">
        <v>112.44</v>
      </c>
      <c r="I10" s="7" t="n">
        <v>0.196</v>
      </c>
    </row>
    <row r="11" customFormat="false" ht="15" hidden="false" customHeight="false" outlineLevel="0" collapsed="false">
      <c r="A11" s="10" t="s">
        <v>286</v>
      </c>
      <c r="B11" s="9" t="n">
        <v>1</v>
      </c>
      <c r="C11" s="11" t="n">
        <v>371800</v>
      </c>
      <c r="D11" s="11" t="n">
        <v>0</v>
      </c>
      <c r="E11" s="12" t="n">
        <v>0</v>
      </c>
      <c r="F11" s="11" t="n">
        <v>371800</v>
      </c>
      <c r="G11" s="11" t="n">
        <v>0</v>
      </c>
      <c r="H11" s="13" t="n">
        <v>9.19</v>
      </c>
      <c r="I11" s="12" t="n">
        <v>0</v>
      </c>
    </row>
    <row r="12" customFormat="false" ht="15" hidden="false" customHeight="false" outlineLevel="0" collapsed="false">
      <c r="A12" s="5" t="s">
        <v>148</v>
      </c>
      <c r="B12" s="4" t="n">
        <v>2</v>
      </c>
      <c r="C12" s="6" t="n">
        <v>0</v>
      </c>
      <c r="D12" s="6" t="n">
        <v>0</v>
      </c>
      <c r="E12" s="7" t="n">
        <v>0</v>
      </c>
      <c r="F12" s="6" t="n">
        <v>0</v>
      </c>
      <c r="G12" s="6" t="n">
        <v>0</v>
      </c>
      <c r="H12" s="8" t="n">
        <v>0.5</v>
      </c>
      <c r="I12" s="7" t="n">
        <v>0</v>
      </c>
    </row>
    <row r="13" customFormat="false" ht="15" hidden="false" customHeight="false" outlineLevel="0" collapsed="false">
      <c r="A13" s="10" t="s">
        <v>228</v>
      </c>
      <c r="B13" s="9" t="n">
        <v>1</v>
      </c>
      <c r="C13" s="11" t="n">
        <v>0</v>
      </c>
      <c r="D13" s="11" t="n">
        <v>0</v>
      </c>
      <c r="E13" s="12" t="n">
        <v>0</v>
      </c>
      <c r="F13" s="11" t="n">
        <v>0</v>
      </c>
      <c r="G13" s="11" t="n">
        <v>0</v>
      </c>
      <c r="H13" s="13" t="n">
        <v>11.03</v>
      </c>
      <c r="I13" s="12" t="n">
        <v>0</v>
      </c>
    </row>
    <row r="14" customFormat="false" ht="15" hidden="false" customHeight="false" outlineLevel="0" collapsed="false">
      <c r="A14" s="5" t="s">
        <v>288</v>
      </c>
      <c r="B14" s="4" t="n">
        <v>1</v>
      </c>
      <c r="C14" s="6" t="n">
        <v>0</v>
      </c>
      <c r="D14" s="6" t="n">
        <v>0</v>
      </c>
      <c r="E14" s="7" t="n">
        <v>0</v>
      </c>
      <c r="F14" s="6" t="n">
        <v>0</v>
      </c>
      <c r="G14" s="6" t="n">
        <v>0</v>
      </c>
      <c r="H14" s="8" t="n">
        <v>0.23</v>
      </c>
      <c r="I14" s="7" t="n">
        <v>0</v>
      </c>
    </row>
    <row r="15" customFormat="false" ht="15" hidden="false" customHeight="false" outlineLevel="0" collapsed="false">
      <c r="A15" s="10" t="s">
        <v>224</v>
      </c>
      <c r="B15" s="9" t="n">
        <v>1</v>
      </c>
      <c r="C15" s="11" t="n">
        <v>0</v>
      </c>
      <c r="D15" s="11" t="n">
        <v>0</v>
      </c>
      <c r="E15" s="12" t="n">
        <v>0</v>
      </c>
      <c r="F15" s="11" t="n">
        <v>0</v>
      </c>
      <c r="G15" s="11" t="n">
        <v>0</v>
      </c>
      <c r="H15" s="13" t="n">
        <v>9.93</v>
      </c>
      <c r="I15" s="12" t="n">
        <v>0</v>
      </c>
    </row>
    <row r="16" customFormat="false" ht="15" hidden="false" customHeight="false" outlineLevel="0" collapsed="false">
      <c r="A16" s="5" t="s">
        <v>54</v>
      </c>
      <c r="B16" s="4" t="n">
        <v>3</v>
      </c>
      <c r="C16" s="6" t="n">
        <v>0</v>
      </c>
      <c r="D16" s="6" t="n">
        <v>0</v>
      </c>
      <c r="E16" s="7" t="n">
        <v>0</v>
      </c>
      <c r="F16" s="6" t="n">
        <v>0</v>
      </c>
      <c r="G16" s="6" t="n">
        <v>0</v>
      </c>
      <c r="H16" s="8" t="n">
        <v>49.24</v>
      </c>
      <c r="I16" s="7" t="n">
        <v>0</v>
      </c>
    </row>
    <row r="17" customFormat="false" ht="15" hidden="false" customHeight="false" outlineLevel="0" collapsed="false">
      <c r="A17" s="10" t="s">
        <v>160</v>
      </c>
      <c r="B17" s="9" t="n">
        <v>1</v>
      </c>
      <c r="C17" s="11" t="n">
        <v>0</v>
      </c>
      <c r="D17" s="11" t="n">
        <v>0</v>
      </c>
      <c r="E17" s="12" t="n">
        <v>0</v>
      </c>
      <c r="F17" s="11" t="n">
        <v>0</v>
      </c>
      <c r="G17" s="11" t="n">
        <v>0</v>
      </c>
      <c r="H17" s="13" t="n">
        <v>25.7</v>
      </c>
      <c r="I17" s="12" t="n">
        <v>0</v>
      </c>
    </row>
    <row r="18" customFormat="false" ht="15" hidden="false" customHeight="false" outlineLevel="0" collapsed="false">
      <c r="A18" s="14" t="s">
        <v>298</v>
      </c>
      <c r="B18" s="14" t="n">
        <f aca="false">SUM(B4:B17)</f>
        <v>96</v>
      </c>
      <c r="C18" s="17" t="n">
        <f aca="false">SUM(C4:C17)</f>
        <v>199845280</v>
      </c>
      <c r="D18" s="17" t="n">
        <f aca="false">SUM(D4:D17)</f>
        <v>77368276</v>
      </c>
      <c r="E18" s="16" t="n">
        <f aca="false">IF(C18=0,0,D18/C18)</f>
        <v>0.387140872178717</v>
      </c>
      <c r="F18" s="17" t="n">
        <f aca="false">SUM(F4:F17)</f>
        <v>91024247.3</v>
      </c>
      <c r="G18" s="17" t="n">
        <f aca="false">SUM(G4:G17)</f>
        <v>108821032.7</v>
      </c>
      <c r="H18" s="18" t="n">
        <f aca="false">SUM(H4:H17)</f>
        <v>1969.69</v>
      </c>
      <c r="I18" s="16" t="n">
        <f aca="false">AVERAGE(I4:I17)</f>
        <v>0.0872639880952381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0"/>
    <col collapsed="false" customWidth="true" hidden="false" outlineLevel="0" max="3" min="3" style="0" width="10.81"/>
    <col collapsed="false" customWidth="true" hidden="false" outlineLevel="0" max="4" min="4" style="0" width="12"/>
    <col collapsed="false" customWidth="true" hidden="false" outlineLevel="0" max="5" min="5" style="0" width="24"/>
    <col collapsed="false" customWidth="true" hidden="false" outlineLevel="0" max="6" min="6" style="0" width="13.2"/>
    <col collapsed="false" customWidth="true" hidden="false" outlineLevel="0" max="7" min="7" style="0" width="15.6"/>
    <col collapsed="false" customWidth="true" hidden="false" outlineLevel="0" max="8" min="8" style="0" width="22.8"/>
  </cols>
  <sheetData>
    <row r="1" customFormat="false" ht="15" hidden="false" customHeight="false" outlineLevel="0" collapsed="false">
      <c r="A1" s="1" t="s">
        <v>300</v>
      </c>
    </row>
    <row r="3" customFormat="false" ht="15" hidden="false" customHeight="false" outlineLevel="0" collapsed="false">
      <c r="A3" s="3" t="s">
        <v>14</v>
      </c>
      <c r="B3" s="3" t="s">
        <v>290</v>
      </c>
      <c r="C3" s="3" t="s">
        <v>291</v>
      </c>
      <c r="D3" s="3" t="s">
        <v>292</v>
      </c>
      <c r="E3" s="3" t="s">
        <v>293</v>
      </c>
      <c r="F3" s="3" t="s">
        <v>294</v>
      </c>
      <c r="G3" s="3" t="s">
        <v>296</v>
      </c>
      <c r="H3" s="3" t="s">
        <v>297</v>
      </c>
    </row>
    <row r="4" customFormat="false" ht="15" hidden="false" customHeight="false" outlineLevel="0" collapsed="false">
      <c r="A4" s="5" t="s">
        <v>36</v>
      </c>
      <c r="B4" s="4" t="n">
        <v>33</v>
      </c>
      <c r="C4" s="6" t="n">
        <v>51541619</v>
      </c>
      <c r="D4" s="6" t="n">
        <v>39002345</v>
      </c>
      <c r="E4" s="7" t="n">
        <v>0.75671555835295</v>
      </c>
      <c r="F4" s="6" t="n">
        <v>9083855.3</v>
      </c>
      <c r="G4" s="8" t="n">
        <v>600.97</v>
      </c>
      <c r="H4" s="7" t="n">
        <v>0.201157575757576</v>
      </c>
    </row>
    <row r="5" customFormat="false" ht="15" hidden="false" customHeight="false" outlineLevel="0" collapsed="false">
      <c r="A5" s="10" t="s">
        <v>135</v>
      </c>
      <c r="B5" s="9" t="n">
        <v>16</v>
      </c>
      <c r="C5" s="11" t="n">
        <v>92946520</v>
      </c>
      <c r="D5" s="11" t="n">
        <v>2821660</v>
      </c>
      <c r="E5" s="12" t="n">
        <v>0.0303578875249982</v>
      </c>
      <c r="F5" s="11" t="n">
        <v>55638340</v>
      </c>
      <c r="G5" s="13" t="n">
        <v>452.21</v>
      </c>
      <c r="H5" s="12" t="n">
        <v>0.145625</v>
      </c>
    </row>
    <row r="6" customFormat="false" ht="15" hidden="false" customHeight="false" outlineLevel="0" collapsed="false">
      <c r="A6" s="5" t="s">
        <v>29</v>
      </c>
      <c r="B6" s="4" t="n">
        <v>14</v>
      </c>
      <c r="C6" s="6" t="n">
        <v>22596520</v>
      </c>
      <c r="D6" s="6" t="n">
        <v>22069820</v>
      </c>
      <c r="E6" s="7" t="n">
        <v>0.976691101107604</v>
      </c>
      <c r="F6" s="6" t="n">
        <v>11104327</v>
      </c>
      <c r="G6" s="8" t="n">
        <v>278.33</v>
      </c>
      <c r="H6" s="7" t="n">
        <v>0.281428571428571</v>
      </c>
    </row>
    <row r="7" customFormat="false" ht="15" hidden="false" customHeight="false" outlineLevel="0" collapsed="false">
      <c r="A7" s="10" t="s">
        <v>26</v>
      </c>
      <c r="B7" s="9" t="n">
        <v>11</v>
      </c>
      <c r="C7" s="11" t="n">
        <v>5723671</v>
      </c>
      <c r="D7" s="11" t="n">
        <v>2922901</v>
      </c>
      <c r="E7" s="12" t="n">
        <v>0.510668939566932</v>
      </c>
      <c r="F7" s="11" t="n">
        <v>4327212</v>
      </c>
      <c r="G7" s="13" t="n">
        <v>177.83</v>
      </c>
      <c r="H7" s="12" t="n">
        <v>0.515454545454545</v>
      </c>
    </row>
    <row r="8" customFormat="false" ht="15" hidden="false" customHeight="false" outlineLevel="0" collapsed="false">
      <c r="A8" s="5" t="s">
        <v>161</v>
      </c>
      <c r="B8" s="4" t="n">
        <v>6</v>
      </c>
      <c r="C8" s="6" t="n">
        <v>0</v>
      </c>
      <c r="D8" s="6" t="n">
        <v>0</v>
      </c>
      <c r="E8" s="7" t="n">
        <v>0</v>
      </c>
      <c r="F8" s="6" t="n">
        <v>0</v>
      </c>
      <c r="G8" s="8" t="n">
        <v>107.27</v>
      </c>
      <c r="H8" s="7" t="n">
        <v>0</v>
      </c>
    </row>
    <row r="9" customFormat="false" ht="15" hidden="false" customHeight="false" outlineLevel="0" collapsed="false">
      <c r="A9" s="10" t="s">
        <v>197</v>
      </c>
      <c r="B9" s="9" t="n">
        <v>4</v>
      </c>
      <c r="C9" s="11" t="n">
        <v>7750000</v>
      </c>
      <c r="D9" s="11" t="n">
        <v>0</v>
      </c>
      <c r="E9" s="12" t="n">
        <v>0</v>
      </c>
      <c r="F9" s="11" t="n">
        <v>5044863</v>
      </c>
      <c r="G9" s="13" t="n">
        <v>48.89</v>
      </c>
      <c r="H9" s="12" t="n">
        <v>0</v>
      </c>
    </row>
    <row r="10" customFormat="false" ht="15" hidden="false" customHeight="false" outlineLevel="0" collapsed="false">
      <c r="A10" s="5" t="s">
        <v>40</v>
      </c>
      <c r="B10" s="4" t="n">
        <v>3</v>
      </c>
      <c r="C10" s="6" t="n">
        <v>9865500</v>
      </c>
      <c r="D10" s="6" t="n">
        <v>6000000</v>
      </c>
      <c r="E10" s="7" t="n">
        <v>0.608180021286301</v>
      </c>
      <c r="F10" s="6" t="n">
        <v>874600</v>
      </c>
      <c r="G10" s="8" t="n">
        <v>77.31</v>
      </c>
      <c r="H10" s="7" t="n">
        <v>0.283333333333333</v>
      </c>
    </row>
    <row r="11" customFormat="false" ht="15" hidden="false" customHeight="false" outlineLevel="0" collapsed="false">
      <c r="A11" s="10" t="s">
        <v>79</v>
      </c>
      <c r="B11" s="9" t="n">
        <v>3</v>
      </c>
      <c r="C11" s="11" t="n">
        <v>3844000</v>
      </c>
      <c r="D11" s="11" t="n">
        <v>756000</v>
      </c>
      <c r="E11" s="12" t="n">
        <v>0.196670135275754</v>
      </c>
      <c r="F11" s="11" t="n">
        <v>3255500</v>
      </c>
      <c r="G11" s="13" t="n">
        <v>61.37</v>
      </c>
      <c r="H11" s="12" t="n">
        <v>0.382833333333333</v>
      </c>
    </row>
    <row r="12" customFormat="false" ht="15" hidden="false" customHeight="false" outlineLevel="0" collapsed="false">
      <c r="A12" s="5" t="s">
        <v>85</v>
      </c>
      <c r="B12" s="4" t="n">
        <v>2</v>
      </c>
      <c r="C12" s="6" t="n">
        <v>2166650</v>
      </c>
      <c r="D12" s="6" t="n">
        <v>1581630</v>
      </c>
      <c r="E12" s="7" t="n">
        <v>0.729988692220709</v>
      </c>
      <c r="F12" s="6" t="n">
        <v>449990</v>
      </c>
      <c r="G12" s="8" t="n">
        <v>55.77</v>
      </c>
      <c r="H12" s="7" t="n">
        <v>0</v>
      </c>
    </row>
    <row r="13" customFormat="false" ht="15" hidden="false" customHeight="false" outlineLevel="0" collapsed="false">
      <c r="A13" s="10" t="s">
        <v>104</v>
      </c>
      <c r="B13" s="9" t="n">
        <v>2</v>
      </c>
      <c r="C13" s="11" t="n">
        <v>2386000</v>
      </c>
      <c r="D13" s="11" t="n">
        <v>2213920</v>
      </c>
      <c r="E13" s="12" t="n">
        <v>0.927879295892707</v>
      </c>
      <c r="F13" s="11" t="n">
        <v>478560</v>
      </c>
      <c r="G13" s="13" t="n">
        <v>83</v>
      </c>
      <c r="H13" s="12" t="n">
        <v>0.49</v>
      </c>
    </row>
    <row r="14" customFormat="false" ht="15" hidden="false" customHeight="false" outlineLevel="0" collapsed="false">
      <c r="A14" s="5" t="s">
        <v>178</v>
      </c>
      <c r="B14" s="4" t="n">
        <v>1</v>
      </c>
      <c r="C14" s="6" t="n">
        <v>677000</v>
      </c>
      <c r="D14" s="6" t="n">
        <v>0</v>
      </c>
      <c r="E14" s="7" t="n">
        <v>0</v>
      </c>
      <c r="F14" s="6" t="n">
        <v>677000</v>
      </c>
      <c r="G14" s="8" t="n">
        <v>18.35</v>
      </c>
      <c r="H14" s="7" t="n">
        <v>0</v>
      </c>
    </row>
    <row r="15" customFormat="false" ht="15" hidden="false" customHeight="false" outlineLevel="0" collapsed="false">
      <c r="A15" s="10" t="s">
        <v>164</v>
      </c>
      <c r="B15" s="9" t="n">
        <v>1</v>
      </c>
      <c r="C15" s="11" t="n">
        <v>347800</v>
      </c>
      <c r="D15" s="11" t="n">
        <v>0</v>
      </c>
      <c r="E15" s="12" t="n">
        <v>0</v>
      </c>
      <c r="F15" s="11" t="n">
        <v>90000</v>
      </c>
      <c r="G15" s="13" t="n">
        <v>8.39</v>
      </c>
      <c r="H15" s="12"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0"/>
    <col collapsed="false" customWidth="true" hidden="false" outlineLevel="0" max="3" min="3" style="0" width="10.81"/>
    <col collapsed="false" customWidth="true" hidden="false" outlineLevel="0" max="4" min="4" style="0" width="12"/>
    <col collapsed="false" customWidth="true" hidden="false" outlineLevel="0" max="5" min="5" style="0" width="22.8"/>
    <col collapsed="false" customWidth="true" hidden="false" outlineLevel="0" max="6" min="6" style="0" width="13.2"/>
    <col collapsed="false" customWidth="true" hidden="false" outlineLevel="0" max="7" min="7" style="0" width="15.6"/>
    <col collapsed="false" customWidth="true" hidden="false" outlineLevel="0" max="8" min="8" style="0" width="22.8"/>
  </cols>
  <sheetData>
    <row r="1" customFormat="false" ht="15" hidden="false" customHeight="false" outlineLevel="0" collapsed="false">
      <c r="A1" s="1" t="s">
        <v>301</v>
      </c>
    </row>
    <row r="3" customFormat="false" ht="15" hidden="false" customHeight="false" outlineLevel="0" collapsed="false">
      <c r="A3" s="3" t="s">
        <v>13</v>
      </c>
      <c r="B3" s="3" t="s">
        <v>290</v>
      </c>
      <c r="C3" s="3" t="s">
        <v>291</v>
      </c>
      <c r="D3" s="3" t="s">
        <v>292</v>
      </c>
      <c r="E3" s="3" t="s">
        <v>293</v>
      </c>
      <c r="F3" s="3" t="s">
        <v>294</v>
      </c>
      <c r="G3" s="3" t="s">
        <v>296</v>
      </c>
      <c r="H3" s="3" t="s">
        <v>297</v>
      </c>
    </row>
    <row r="4" customFormat="false" ht="15" hidden="false" customHeight="false" outlineLevel="0" collapsed="false">
      <c r="A4" s="5" t="s">
        <v>25</v>
      </c>
      <c r="B4" s="4" t="n">
        <v>61</v>
      </c>
      <c r="C4" s="6" t="n">
        <v>178728336</v>
      </c>
      <c r="D4" s="6" t="n">
        <v>71399096</v>
      </c>
      <c r="E4" s="7" t="n">
        <v>0.399483918431378</v>
      </c>
      <c r="F4" s="6" t="n">
        <v>81779307.5</v>
      </c>
      <c r="G4" s="8" t="n">
        <v>1476.3</v>
      </c>
      <c r="H4" s="7" t="n">
        <v>0.272459016393443</v>
      </c>
    </row>
    <row r="5" customFormat="false" ht="15" hidden="false" customHeight="false" outlineLevel="0" collapsed="false">
      <c r="A5" s="10" t="s">
        <v>89</v>
      </c>
      <c r="B5" s="9" t="n">
        <v>25</v>
      </c>
      <c r="C5" s="11" t="n">
        <v>17272944</v>
      </c>
      <c r="D5" s="11" t="n">
        <v>5213180</v>
      </c>
      <c r="E5" s="12" t="n">
        <v>0.301811897265457</v>
      </c>
      <c r="F5" s="11" t="n">
        <v>5989439.8</v>
      </c>
      <c r="G5" s="13" t="n">
        <v>321.19</v>
      </c>
      <c r="H5" s="12" t="n">
        <v>0.191528</v>
      </c>
    </row>
    <row r="6" customFormat="false" ht="15" hidden="false" customHeight="false" outlineLevel="0" collapsed="false">
      <c r="A6" s="5" t="s">
        <v>79</v>
      </c>
      <c r="B6" s="4" t="n">
        <v>3</v>
      </c>
      <c r="C6" s="6" t="n">
        <v>3844000</v>
      </c>
      <c r="D6" s="6" t="n">
        <v>756000</v>
      </c>
      <c r="E6" s="7" t="n">
        <v>0.196670135275754</v>
      </c>
      <c r="F6" s="6" t="n">
        <v>3255500</v>
      </c>
      <c r="G6" s="8" t="n">
        <v>61.37</v>
      </c>
      <c r="H6" s="7" t="n">
        <v>0.382833333333333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6"/>
    <col collapsed="false" customWidth="true" hidden="false" outlineLevel="0" max="2" min="2" style="0" width="12"/>
    <col collapsed="false" customWidth="true" hidden="false" outlineLevel="0" max="3" min="3" style="0" width="22.8"/>
    <col collapsed="false" customWidth="true" hidden="false" outlineLevel="0" max="5" min="4" style="0" width="10"/>
    <col collapsed="false" customWidth="true" hidden="false" outlineLevel="0" max="6" min="6" style="0" width="12"/>
    <col collapsed="false" customWidth="true" hidden="false" outlineLevel="0" max="11" min="7" style="0" width="10"/>
  </cols>
  <sheetData>
    <row r="1" customFormat="false" ht="15" hidden="false" customHeight="false" outlineLevel="0" collapsed="false">
      <c r="A1" s="1" t="s">
        <v>302</v>
      </c>
    </row>
    <row r="3" customFormat="false" ht="15" hidden="false" customHeight="false" outlineLevel="0" collapsed="false">
      <c r="A3" s="3" t="s">
        <v>303</v>
      </c>
      <c r="B3" s="3" t="s">
        <v>3</v>
      </c>
      <c r="C3" s="3" t="s">
        <v>4</v>
      </c>
      <c r="D3" s="3" t="s">
        <v>5</v>
      </c>
      <c r="E3" s="3" t="s">
        <v>6</v>
      </c>
      <c r="F3" s="3" t="s">
        <v>8</v>
      </c>
      <c r="G3" s="3" t="s">
        <v>293</v>
      </c>
      <c r="H3" s="3" t="s">
        <v>11</v>
      </c>
      <c r="I3" s="3" t="s">
        <v>12</v>
      </c>
      <c r="J3" s="3" t="s">
        <v>14</v>
      </c>
      <c r="K3" s="3" t="s">
        <v>15</v>
      </c>
    </row>
    <row r="4" customFormat="false" ht="15" hidden="false" customHeight="false" outlineLevel="0" collapsed="false">
      <c r="A4" s="4" t="n">
        <v>1</v>
      </c>
      <c r="B4" s="4" t="s">
        <v>132</v>
      </c>
      <c r="C4" s="5" t="s">
        <v>133</v>
      </c>
      <c r="D4" s="5" t="s">
        <v>134</v>
      </c>
      <c r="E4" s="19" t="n">
        <v>81000000</v>
      </c>
      <c r="F4" s="6" t="n">
        <v>0</v>
      </c>
      <c r="G4" s="7" t="n">
        <v>0</v>
      </c>
      <c r="H4" s="5" t="s">
        <v>23</v>
      </c>
      <c r="I4" s="5" t="s">
        <v>129</v>
      </c>
      <c r="J4" s="5" t="s">
        <v>135</v>
      </c>
      <c r="K4" s="7" t="n">
        <v>0</v>
      </c>
    </row>
    <row r="5" customFormat="false" ht="15" hidden="false" customHeight="false" outlineLevel="0" collapsed="false">
      <c r="A5" s="9" t="n">
        <v>2</v>
      </c>
      <c r="B5" s="9" t="s">
        <v>62</v>
      </c>
      <c r="C5" s="10" t="s">
        <v>63</v>
      </c>
      <c r="D5" s="10" t="s">
        <v>20</v>
      </c>
      <c r="E5" s="11" t="n">
        <v>14445500</v>
      </c>
      <c r="F5" s="11" t="n">
        <v>13996700</v>
      </c>
      <c r="G5" s="12" t="n">
        <v>0.968927</v>
      </c>
      <c r="H5" s="10" t="s">
        <v>56</v>
      </c>
      <c r="I5" s="10" t="s">
        <v>64</v>
      </c>
      <c r="J5" s="10" t="s">
        <v>36</v>
      </c>
      <c r="K5" s="12" t="n">
        <v>0.96</v>
      </c>
    </row>
    <row r="6" customFormat="false" ht="15" hidden="false" customHeight="false" outlineLevel="0" collapsed="false">
      <c r="A6" s="4" t="n">
        <v>3</v>
      </c>
      <c r="B6" s="4" t="s">
        <v>127</v>
      </c>
      <c r="C6" s="5" t="s">
        <v>128</v>
      </c>
      <c r="D6" s="5" t="s">
        <v>20</v>
      </c>
      <c r="E6" s="6" t="n">
        <v>11560000</v>
      </c>
      <c r="F6" s="6" t="n">
        <v>11560000</v>
      </c>
      <c r="G6" s="7" t="n">
        <v>1</v>
      </c>
      <c r="H6" s="5" t="s">
        <v>23</v>
      </c>
      <c r="I6" s="5" t="s">
        <v>129</v>
      </c>
      <c r="J6" s="5" t="s">
        <v>29</v>
      </c>
      <c r="K6" s="7" t="n">
        <v>0.95</v>
      </c>
    </row>
    <row r="7" customFormat="false" ht="15" hidden="false" customHeight="false" outlineLevel="0" collapsed="false">
      <c r="A7" s="9" t="n">
        <v>4</v>
      </c>
      <c r="B7" s="9" t="s">
        <v>30</v>
      </c>
      <c r="C7" s="10" t="s">
        <v>31</v>
      </c>
      <c r="D7" s="10" t="s">
        <v>20</v>
      </c>
      <c r="E7" s="11" t="n">
        <v>10900800</v>
      </c>
      <c r="F7" s="11" t="n">
        <v>10900800</v>
      </c>
      <c r="G7" s="12" t="n">
        <v>1</v>
      </c>
      <c r="H7" s="10" t="s">
        <v>34</v>
      </c>
      <c r="I7" s="10" t="s">
        <v>35</v>
      </c>
      <c r="J7" s="10" t="s">
        <v>36</v>
      </c>
      <c r="K7" s="12" t="n">
        <v>0</v>
      </c>
    </row>
    <row r="8" customFormat="false" ht="15" hidden="false" customHeight="false" outlineLevel="0" collapsed="false">
      <c r="A8" s="4" t="n">
        <v>5</v>
      </c>
      <c r="B8" s="4" t="s">
        <v>130</v>
      </c>
      <c r="C8" s="5" t="s">
        <v>131</v>
      </c>
      <c r="D8" s="5" t="s">
        <v>20</v>
      </c>
      <c r="E8" s="6" t="n">
        <v>9885200</v>
      </c>
      <c r="F8" s="6" t="n">
        <v>9563770</v>
      </c>
      <c r="G8" s="7" t="n">
        <v>0.967483</v>
      </c>
      <c r="H8" s="5" t="s">
        <v>23</v>
      </c>
      <c r="I8" s="5" t="s">
        <v>129</v>
      </c>
      <c r="J8" s="5" t="s">
        <v>36</v>
      </c>
      <c r="K8" s="7" t="n">
        <v>0.95</v>
      </c>
    </row>
    <row r="9" customFormat="false" ht="15" hidden="false" customHeight="false" outlineLevel="0" collapsed="false">
      <c r="A9" s="9" t="n">
        <v>6</v>
      </c>
      <c r="B9" s="9" t="s">
        <v>37</v>
      </c>
      <c r="C9" s="10" t="s">
        <v>38</v>
      </c>
      <c r="D9" s="10" t="s">
        <v>20</v>
      </c>
      <c r="E9" s="11" t="n">
        <v>9242900</v>
      </c>
      <c r="F9" s="11" t="n">
        <v>6000000</v>
      </c>
      <c r="G9" s="12" t="n">
        <v>0.649147</v>
      </c>
      <c r="H9" s="10" t="s">
        <v>23</v>
      </c>
      <c r="I9" s="10" t="s">
        <v>39</v>
      </c>
      <c r="J9" s="10" t="s">
        <v>40</v>
      </c>
      <c r="K9" s="12" t="n">
        <v>0.85</v>
      </c>
    </row>
    <row r="10" customFormat="false" ht="15" hidden="false" customHeight="false" outlineLevel="0" collapsed="false">
      <c r="A10" s="4" t="n">
        <v>7</v>
      </c>
      <c r="B10" s="4" t="s">
        <v>179</v>
      </c>
      <c r="C10" s="4" t="s">
        <v>180</v>
      </c>
      <c r="D10" s="5" t="s">
        <v>20</v>
      </c>
      <c r="E10" s="6" t="n">
        <v>8061870</v>
      </c>
      <c r="F10" s="6" t="n">
        <v>2821660</v>
      </c>
      <c r="G10" s="7" t="n">
        <v>0.35</v>
      </c>
      <c r="H10" s="5" t="s">
        <v>23</v>
      </c>
      <c r="I10" s="5" t="s">
        <v>182</v>
      </c>
      <c r="J10" s="5" t="s">
        <v>135</v>
      </c>
      <c r="K10" s="7" t="n">
        <v>0.95</v>
      </c>
    </row>
    <row r="11" customFormat="false" ht="15" hidden="false" customHeight="false" outlineLevel="0" collapsed="false">
      <c r="A11" s="9" t="n">
        <v>8</v>
      </c>
      <c r="B11" s="9" t="s">
        <v>247</v>
      </c>
      <c r="C11" s="10" t="s">
        <v>248</v>
      </c>
      <c r="D11" s="10" t="s">
        <v>20</v>
      </c>
      <c r="E11" s="11" t="n">
        <v>5000000</v>
      </c>
      <c r="F11" s="11" t="n">
        <v>0</v>
      </c>
      <c r="G11" s="12" t="n">
        <v>0</v>
      </c>
      <c r="H11" s="10" t="s">
        <v>239</v>
      </c>
      <c r="I11" s="10" t="s">
        <v>251</v>
      </c>
      <c r="J11" s="10" t="s">
        <v>197</v>
      </c>
      <c r="K11" s="12" t="n">
        <v>0</v>
      </c>
    </row>
    <row r="12" customFormat="false" ht="15" hidden="false" customHeight="false" outlineLevel="0" collapsed="false">
      <c r="A12" s="4" t="n">
        <v>9</v>
      </c>
      <c r="B12" s="4" t="s">
        <v>254</v>
      </c>
      <c r="C12" s="5" t="s">
        <v>255</v>
      </c>
      <c r="D12" s="5" t="s">
        <v>43</v>
      </c>
      <c r="E12" s="6" t="n">
        <v>4546000</v>
      </c>
      <c r="F12" s="6" t="n">
        <v>0</v>
      </c>
      <c r="G12" s="7" t="n">
        <v>0</v>
      </c>
      <c r="H12" s="5" t="s">
        <v>34</v>
      </c>
      <c r="I12" s="5" t="s">
        <v>46</v>
      </c>
      <c r="J12" s="5" t="s">
        <v>36</v>
      </c>
      <c r="K12" s="7" t="n">
        <v>0.2082</v>
      </c>
    </row>
    <row r="13" customFormat="false" ht="15" hidden="false" customHeight="false" outlineLevel="0" collapsed="false">
      <c r="A13" s="9" t="n">
        <v>10</v>
      </c>
      <c r="B13" s="9" t="s">
        <v>76</v>
      </c>
      <c r="C13" s="10" t="s">
        <v>77</v>
      </c>
      <c r="D13" s="10" t="s">
        <v>20</v>
      </c>
      <c r="E13" s="11" t="n">
        <v>3780000</v>
      </c>
      <c r="F13" s="11" t="n">
        <v>756000</v>
      </c>
      <c r="G13" s="12" t="n">
        <v>0.2</v>
      </c>
      <c r="H13" s="10" t="s">
        <v>23</v>
      </c>
      <c r="I13" s="10" t="s">
        <v>78</v>
      </c>
      <c r="J13" s="10" t="s">
        <v>79</v>
      </c>
      <c r="K13" s="12" t="n">
        <v>0.3985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2"/>
    <col collapsed="false" customWidth="true" hidden="false" outlineLevel="0" max="2" min="2" style="0" width="32.4"/>
    <col collapsed="false" customWidth="true" hidden="false" outlineLevel="0" max="3" min="3" style="0" width="10.81"/>
    <col collapsed="false" customWidth="true" hidden="false" outlineLevel="0" max="4" min="4" style="0" width="12"/>
    <col collapsed="false" customWidth="true" hidden="false" outlineLevel="0" max="6" min="5" style="0" width="10"/>
  </cols>
  <sheetData>
    <row r="1" customFormat="false" ht="15" hidden="false" customHeight="false" outlineLevel="0" collapsed="false">
      <c r="A1" s="1" t="s">
        <v>304</v>
      </c>
    </row>
    <row r="3" customFormat="false" ht="15" hidden="false" customHeight="false" outlineLevel="0" collapsed="false">
      <c r="A3" s="20" t="s">
        <v>305</v>
      </c>
    </row>
    <row r="4" customFormat="false" ht="15" hidden="false" customHeight="false" outlineLevel="0" collapsed="false">
      <c r="A4" s="3" t="s">
        <v>306</v>
      </c>
      <c r="B4" s="3" t="s">
        <v>290</v>
      </c>
      <c r="C4" s="3" t="s">
        <v>291</v>
      </c>
      <c r="D4" s="3" t="s">
        <v>292</v>
      </c>
    </row>
    <row r="5" customFormat="false" ht="15" hidden="false" customHeight="false" outlineLevel="0" collapsed="false">
      <c r="A5" s="4" t="s">
        <v>307</v>
      </c>
      <c r="B5" s="4" t="n">
        <v>17</v>
      </c>
      <c r="C5" s="6" t="n">
        <v>34876834</v>
      </c>
      <c r="D5" s="6" t="n">
        <v>34876834</v>
      </c>
    </row>
    <row r="6" customFormat="false" ht="15" hidden="false" customHeight="false" outlineLevel="0" collapsed="false">
      <c r="A6" s="9" t="s">
        <v>308</v>
      </c>
      <c r="B6" s="9" t="n">
        <v>8</v>
      </c>
      <c r="C6" s="11" t="n">
        <v>32439650</v>
      </c>
      <c r="D6" s="11" t="n">
        <v>31088520</v>
      </c>
    </row>
    <row r="7" customFormat="false" ht="15" hidden="false" customHeight="false" outlineLevel="0" collapsed="false">
      <c r="A7" s="4" t="s">
        <v>309</v>
      </c>
      <c r="B7" s="4" t="n">
        <v>5</v>
      </c>
      <c r="C7" s="6" t="n">
        <v>10480550</v>
      </c>
      <c r="D7" s="6" t="n">
        <v>6712230</v>
      </c>
    </row>
    <row r="8" customFormat="false" ht="15" hidden="false" customHeight="false" outlineLevel="0" collapsed="false">
      <c r="A8" s="9" t="s">
        <v>310</v>
      </c>
      <c r="B8" s="9" t="n">
        <v>11</v>
      </c>
      <c r="C8" s="11" t="n">
        <v>16334900</v>
      </c>
      <c r="D8" s="11" t="n">
        <v>4690692</v>
      </c>
    </row>
    <row r="9" customFormat="false" ht="15" hidden="false" customHeight="false" outlineLevel="0" collapsed="false">
      <c r="A9" s="4" t="s">
        <v>311</v>
      </c>
      <c r="B9" s="4" t="n">
        <v>15</v>
      </c>
      <c r="C9" s="6" t="n">
        <v>10523160</v>
      </c>
      <c r="D9" s="6" t="n">
        <v>0</v>
      </c>
    </row>
    <row r="10" customFormat="false" ht="15" hidden="false" customHeight="false" outlineLevel="0" collapsed="false">
      <c r="A10" s="9" t="s">
        <v>312</v>
      </c>
      <c r="B10" s="9" t="n">
        <v>0</v>
      </c>
      <c r="C10" s="11" t="n">
        <v>0</v>
      </c>
      <c r="D10" s="11" t="n">
        <v>0</v>
      </c>
    </row>
    <row r="12" customFormat="false" ht="15" hidden="false" customHeight="false" outlineLevel="0" collapsed="false">
      <c r="A12" s="20" t="s">
        <v>313</v>
      </c>
    </row>
    <row r="13" customFormat="false" ht="15" hidden="false" customHeight="false" outlineLevel="0" collapsed="false">
      <c r="A13" s="3" t="s">
        <v>3</v>
      </c>
      <c r="B13" s="3" t="s">
        <v>4</v>
      </c>
      <c r="C13" s="3" t="s">
        <v>6</v>
      </c>
      <c r="D13" s="3" t="s">
        <v>11</v>
      </c>
      <c r="E13" s="3" t="s">
        <v>12</v>
      </c>
      <c r="F13" s="3" t="s">
        <v>14</v>
      </c>
    </row>
    <row r="14" customFormat="false" ht="15" hidden="false" customHeight="false" outlineLevel="0" collapsed="false">
      <c r="A14" s="4" t="s">
        <v>86</v>
      </c>
      <c r="B14" s="4" t="s">
        <v>87</v>
      </c>
      <c r="C14" s="6" t="n">
        <v>100000</v>
      </c>
      <c r="D14" s="5" t="s">
        <v>56</v>
      </c>
      <c r="E14" s="5" t="s">
        <v>88</v>
      </c>
      <c r="F14" s="5" t="s">
        <v>36</v>
      </c>
    </row>
    <row r="15" customFormat="false" ht="15" hidden="false" customHeight="false" outlineLevel="0" collapsed="false">
      <c r="A15" s="9" t="s">
        <v>111</v>
      </c>
      <c r="B15" s="10" t="s">
        <v>112</v>
      </c>
      <c r="C15" s="11" t="n">
        <v>102000</v>
      </c>
      <c r="D15" s="10" t="s">
        <v>109</v>
      </c>
      <c r="E15" s="10" t="s">
        <v>110</v>
      </c>
      <c r="F15" s="10" t="s">
        <v>29</v>
      </c>
    </row>
    <row r="16" customFormat="false" ht="15" hidden="false" customHeight="false" outlineLevel="0" collapsed="false">
      <c r="A16" s="4" t="s">
        <v>149</v>
      </c>
      <c r="B16" s="5" t="s">
        <v>150</v>
      </c>
      <c r="C16" s="6" t="n">
        <v>430000</v>
      </c>
      <c r="D16" s="5" t="s">
        <v>56</v>
      </c>
      <c r="E16" s="5" t="s">
        <v>88</v>
      </c>
      <c r="F16" s="5" t="s">
        <v>36</v>
      </c>
    </row>
    <row r="17" customFormat="false" ht="15" hidden="false" customHeight="false" outlineLevel="0" collapsed="false">
      <c r="A17" s="9" t="s">
        <v>162</v>
      </c>
      <c r="B17" s="10" t="s">
        <v>163</v>
      </c>
      <c r="C17" s="11" t="n">
        <v>347800</v>
      </c>
      <c r="D17" s="10" t="s">
        <v>23</v>
      </c>
      <c r="E17" s="10" t="s">
        <v>39</v>
      </c>
      <c r="F17" s="10" t="s">
        <v>164</v>
      </c>
    </row>
    <row r="18" customFormat="false" ht="15" hidden="false" customHeight="false" outlineLevel="0" collapsed="false">
      <c r="A18" s="4" t="s">
        <v>183</v>
      </c>
      <c r="B18" s="5" t="s">
        <v>184</v>
      </c>
      <c r="C18" s="6" t="n">
        <v>400660</v>
      </c>
      <c r="D18" s="5" t="s">
        <v>34</v>
      </c>
      <c r="E18" s="5" t="s">
        <v>46</v>
      </c>
      <c r="F18" s="5" t="s">
        <v>36</v>
      </c>
    </row>
    <row r="19" customFormat="false" ht="15" hidden="false" customHeight="false" outlineLevel="0" collapsed="false">
      <c r="A19" s="9" t="s">
        <v>192</v>
      </c>
      <c r="B19" s="9" t="s">
        <v>193</v>
      </c>
      <c r="C19" s="11" t="n">
        <v>396000</v>
      </c>
      <c r="D19" s="10" t="s">
        <v>121</v>
      </c>
      <c r="E19" s="10" t="s">
        <v>194</v>
      </c>
      <c r="F19" s="10" t="s">
        <v>36</v>
      </c>
    </row>
    <row r="20" customFormat="false" ht="15" hidden="false" customHeight="false" outlineLevel="0" collapsed="false">
      <c r="A20" s="4" t="s">
        <v>198</v>
      </c>
      <c r="B20" s="5" t="s">
        <v>199</v>
      </c>
      <c r="C20" s="6" t="n">
        <v>400000</v>
      </c>
      <c r="D20" s="5" t="s">
        <v>34</v>
      </c>
      <c r="E20" s="5" t="s">
        <v>46</v>
      </c>
      <c r="F20" s="5" t="s">
        <v>135</v>
      </c>
    </row>
    <row r="21" customFormat="false" ht="15" hidden="false" customHeight="false" outlineLevel="0" collapsed="false">
      <c r="A21" s="9" t="s">
        <v>210</v>
      </c>
      <c r="B21" s="9" t="s">
        <v>211</v>
      </c>
      <c r="C21" s="11" t="n">
        <v>2310000</v>
      </c>
      <c r="D21" s="10" t="s">
        <v>56</v>
      </c>
      <c r="E21" s="10" t="s">
        <v>57</v>
      </c>
      <c r="F21" s="10" t="s">
        <v>36</v>
      </c>
    </row>
    <row r="22" customFormat="false" ht="15" hidden="false" customHeight="false" outlineLevel="0" collapsed="false">
      <c r="A22" s="4" t="s">
        <v>243</v>
      </c>
      <c r="B22" s="5" t="s">
        <v>244</v>
      </c>
      <c r="C22" s="6" t="n">
        <v>130000</v>
      </c>
      <c r="D22" s="5" t="s">
        <v>83</v>
      </c>
      <c r="E22" s="5" t="s">
        <v>84</v>
      </c>
      <c r="F22" s="5" t="s">
        <v>135</v>
      </c>
    </row>
    <row r="23" customFormat="false" ht="15" hidden="false" customHeight="false" outlineLevel="0" collapsed="false">
      <c r="A23" s="9" t="s">
        <v>247</v>
      </c>
      <c r="B23" s="10" t="s">
        <v>248</v>
      </c>
      <c r="C23" s="11" t="n">
        <v>5000000</v>
      </c>
      <c r="D23" s="10" t="s">
        <v>239</v>
      </c>
      <c r="E23" s="10" t="s">
        <v>251</v>
      </c>
      <c r="F23" s="10" t="s">
        <v>197</v>
      </c>
    </row>
    <row r="24" customFormat="false" ht="15" hidden="false" customHeight="false" outlineLevel="0" collapsed="false">
      <c r="A24" s="4" t="s">
        <v>256</v>
      </c>
      <c r="B24" s="5" t="s">
        <v>257</v>
      </c>
      <c r="C24" s="6" t="n">
        <v>70200</v>
      </c>
      <c r="D24" s="5" t="s">
        <v>83</v>
      </c>
      <c r="E24" s="5" t="s">
        <v>236</v>
      </c>
      <c r="F24" s="5" t="s">
        <v>135</v>
      </c>
    </row>
    <row r="25" customFormat="false" ht="15" hidden="false" customHeight="false" outlineLevel="0" collapsed="false">
      <c r="A25" s="9" t="s">
        <v>258</v>
      </c>
      <c r="B25" s="10" t="s">
        <v>259</v>
      </c>
      <c r="C25" s="11" t="n">
        <v>56500</v>
      </c>
      <c r="D25" s="10" t="s">
        <v>23</v>
      </c>
      <c r="E25" s="10" t="s">
        <v>24</v>
      </c>
      <c r="F25" s="10" t="s">
        <v>79</v>
      </c>
    </row>
    <row r="26" customFormat="false" ht="15" hidden="false" customHeight="false" outlineLevel="0" collapsed="false">
      <c r="A26" s="4" t="s">
        <v>261</v>
      </c>
      <c r="B26" s="4" t="s">
        <v>262</v>
      </c>
      <c r="C26" s="6" t="n">
        <v>398000</v>
      </c>
      <c r="D26" s="5" t="s">
        <v>239</v>
      </c>
      <c r="E26" s="5" t="s">
        <v>194</v>
      </c>
      <c r="F26" s="5" t="s">
        <v>36</v>
      </c>
    </row>
    <row r="27" customFormat="false" ht="15" hidden="false" customHeight="false" outlineLevel="0" collapsed="false">
      <c r="A27" s="9" t="s">
        <v>263</v>
      </c>
      <c r="B27" s="10" t="s">
        <v>264</v>
      </c>
      <c r="C27" s="11" t="n">
        <v>40000</v>
      </c>
      <c r="D27" s="10" t="s">
        <v>34</v>
      </c>
      <c r="E27" s="10" t="s">
        <v>35</v>
      </c>
      <c r="F27" s="10" t="s">
        <v>36</v>
      </c>
    </row>
    <row r="28" customFormat="false" ht="15" hidden="false" customHeight="false" outlineLevel="0" collapsed="false">
      <c r="A28" s="4" t="s">
        <v>282</v>
      </c>
      <c r="B28" s="4" t="s">
        <v>283</v>
      </c>
      <c r="C28" s="6" t="n">
        <v>342000</v>
      </c>
      <c r="D28" s="5" t="s">
        <v>34</v>
      </c>
      <c r="E28" s="5" t="s">
        <v>35</v>
      </c>
      <c r="F28" s="5" t="s">
        <v>36</v>
      </c>
    </row>
    <row r="30" customFormat="false" ht="15" hidden="false" customHeight="false" outlineLevel="0" collapsed="false">
      <c r="A30" s="20" t="s">
        <v>314</v>
      </c>
    </row>
    <row r="31" customFormat="false" ht="15" hidden="false" customHeight="false" outlineLevel="0" collapsed="false">
      <c r="A31" s="3" t="s">
        <v>3</v>
      </c>
      <c r="B31" s="3" t="s">
        <v>4</v>
      </c>
      <c r="C31" s="3" t="s">
        <v>6</v>
      </c>
      <c r="D31" s="3" t="s">
        <v>8</v>
      </c>
      <c r="E31" s="3" t="s">
        <v>293</v>
      </c>
      <c r="F31" s="3" t="s">
        <v>11</v>
      </c>
    </row>
    <row r="32" customFormat="false" ht="15" hidden="false" customHeight="false" outlineLevel="0" collapsed="false">
      <c r="A32" s="4" t="s">
        <v>62</v>
      </c>
      <c r="B32" s="5" t="s">
        <v>63</v>
      </c>
      <c r="C32" s="6" t="n">
        <v>14445500</v>
      </c>
      <c r="D32" s="6" t="n">
        <v>13996700</v>
      </c>
      <c r="E32" s="7" t="n">
        <v>0.968927</v>
      </c>
      <c r="F32" s="5" t="s">
        <v>56</v>
      </c>
    </row>
    <row r="33" customFormat="false" ht="15" hidden="false" customHeight="false" outlineLevel="0" collapsed="false">
      <c r="A33" s="9" t="s">
        <v>127</v>
      </c>
      <c r="B33" s="10" t="s">
        <v>128</v>
      </c>
      <c r="C33" s="11" t="n">
        <v>11560000</v>
      </c>
      <c r="D33" s="11" t="n">
        <v>11560000</v>
      </c>
      <c r="E33" s="12" t="n">
        <v>1</v>
      </c>
      <c r="F33" s="10" t="s">
        <v>23</v>
      </c>
    </row>
    <row r="34" customFormat="false" ht="15" hidden="false" customHeight="false" outlineLevel="0" collapsed="false">
      <c r="A34" s="4" t="s">
        <v>30</v>
      </c>
      <c r="B34" s="5" t="s">
        <v>31</v>
      </c>
      <c r="C34" s="6" t="n">
        <v>10900800</v>
      </c>
      <c r="D34" s="6" t="n">
        <v>10900800</v>
      </c>
      <c r="E34" s="7" t="n">
        <v>1</v>
      </c>
      <c r="F34" s="5" t="s">
        <v>34</v>
      </c>
    </row>
    <row r="35" customFormat="false" ht="15" hidden="false" customHeight="false" outlineLevel="0" collapsed="false">
      <c r="A35" s="9" t="s">
        <v>130</v>
      </c>
      <c r="B35" s="10" t="s">
        <v>131</v>
      </c>
      <c r="C35" s="11" t="n">
        <v>9885200</v>
      </c>
      <c r="D35" s="11" t="n">
        <v>9563770</v>
      </c>
      <c r="E35" s="12" t="n">
        <v>0.967483</v>
      </c>
      <c r="F35" s="10" t="s">
        <v>23</v>
      </c>
    </row>
    <row r="36" customFormat="false" ht="15" hidden="false" customHeight="false" outlineLevel="0" collapsed="false">
      <c r="A36" s="4" t="s">
        <v>140</v>
      </c>
      <c r="B36" s="5" t="s">
        <v>141</v>
      </c>
      <c r="C36" s="6" t="n">
        <v>2904950</v>
      </c>
      <c r="D36" s="6" t="n">
        <v>2904950</v>
      </c>
      <c r="E36" s="7" t="n">
        <v>1</v>
      </c>
      <c r="F36" s="5" t="s">
        <v>34</v>
      </c>
    </row>
    <row r="37" customFormat="false" ht="15" hidden="false" customHeight="false" outlineLevel="0" collapsed="false">
      <c r="A37" s="9" t="s">
        <v>27</v>
      </c>
      <c r="B37" s="10" t="s">
        <v>28</v>
      </c>
      <c r="C37" s="11" t="n">
        <v>2320000</v>
      </c>
      <c r="D37" s="11" t="n">
        <v>2320000</v>
      </c>
      <c r="E37" s="12" t="n">
        <v>1</v>
      </c>
      <c r="F37" s="10" t="s">
        <v>23</v>
      </c>
    </row>
    <row r="38" customFormat="false" ht="15" hidden="false" customHeight="false" outlineLevel="0" collapsed="false">
      <c r="A38" s="4" t="s">
        <v>107</v>
      </c>
      <c r="B38" s="5" t="s">
        <v>108</v>
      </c>
      <c r="C38" s="6" t="n">
        <v>1961000</v>
      </c>
      <c r="D38" s="6" t="n">
        <v>1958920</v>
      </c>
      <c r="E38" s="7" t="n">
        <v>0.998939</v>
      </c>
      <c r="F38" s="5" t="s">
        <v>109</v>
      </c>
    </row>
    <row r="39" customFormat="false" ht="15" hidden="false" customHeight="false" outlineLevel="0" collapsed="false">
      <c r="A39" s="9" t="s">
        <v>18</v>
      </c>
      <c r="B39" s="10" t="s">
        <v>19</v>
      </c>
      <c r="C39" s="11" t="n">
        <v>1813950</v>
      </c>
      <c r="D39" s="11" t="n">
        <v>1759530</v>
      </c>
      <c r="E39" s="12" t="n">
        <v>0.97</v>
      </c>
      <c r="F39" s="10" t="s">
        <v>23</v>
      </c>
    </row>
    <row r="40" customFormat="false" ht="15" hidden="false" customHeight="false" outlineLevel="0" collapsed="false">
      <c r="A40" s="4" t="s">
        <v>65</v>
      </c>
      <c r="B40" s="5" t="s">
        <v>66</v>
      </c>
      <c r="C40" s="6" t="n">
        <v>1785350</v>
      </c>
      <c r="D40" s="6" t="n">
        <v>1785350</v>
      </c>
      <c r="E40" s="7" t="n">
        <v>1</v>
      </c>
      <c r="F40" s="5" t="s">
        <v>23</v>
      </c>
    </row>
    <row r="41" customFormat="false" ht="15" hidden="false" customHeight="false" outlineLevel="0" collapsed="false">
      <c r="A41" s="9" t="s">
        <v>60</v>
      </c>
      <c r="B41" s="10" t="s">
        <v>61</v>
      </c>
      <c r="C41" s="11" t="n">
        <v>1300000</v>
      </c>
      <c r="D41" s="11" t="n">
        <v>1235000</v>
      </c>
      <c r="E41" s="12" t="n">
        <v>0.95</v>
      </c>
      <c r="F41" s="10" t="s">
        <v>56</v>
      </c>
    </row>
    <row r="42" customFormat="false" ht="15" hidden="false" customHeight="false" outlineLevel="0" collapsed="false">
      <c r="A42" s="4" t="s">
        <v>52</v>
      </c>
      <c r="B42" s="5" t="s">
        <v>53</v>
      </c>
      <c r="C42" s="6" t="n">
        <v>1038920</v>
      </c>
      <c r="D42" s="6" t="n">
        <v>1038920</v>
      </c>
      <c r="E42" s="7" t="n">
        <v>1</v>
      </c>
      <c r="F42" s="5" t="s">
        <v>56</v>
      </c>
    </row>
    <row r="43" customFormat="false" ht="15" hidden="false" customHeight="false" outlineLevel="0" collapsed="false">
      <c r="A43" s="9" t="s">
        <v>72</v>
      </c>
      <c r="B43" s="10" t="s">
        <v>73</v>
      </c>
      <c r="C43" s="11" t="n">
        <v>949800</v>
      </c>
      <c r="D43" s="11" t="n">
        <v>949800</v>
      </c>
      <c r="E43" s="12" t="n">
        <v>1</v>
      </c>
      <c r="F43" s="10" t="s">
        <v>23</v>
      </c>
    </row>
    <row r="44" customFormat="false" ht="15" hidden="false" customHeight="false" outlineLevel="0" collapsed="false">
      <c r="A44" s="4" t="s">
        <v>47</v>
      </c>
      <c r="B44" s="5" t="s">
        <v>48</v>
      </c>
      <c r="C44" s="6" t="n">
        <v>879000</v>
      </c>
      <c r="D44" s="6" t="n">
        <v>791100</v>
      </c>
      <c r="E44" s="7" t="n">
        <v>0.9</v>
      </c>
      <c r="F44" s="5" t="s">
        <v>34</v>
      </c>
    </row>
    <row r="45" customFormat="false" ht="15" hidden="false" customHeight="false" outlineLevel="0" collapsed="false">
      <c r="A45" s="9" t="s">
        <v>165</v>
      </c>
      <c r="B45" s="10" t="s">
        <v>166</v>
      </c>
      <c r="C45" s="11" t="n">
        <v>675000</v>
      </c>
      <c r="D45" s="11" t="n">
        <v>675000</v>
      </c>
      <c r="E45" s="12" t="n">
        <v>1</v>
      </c>
      <c r="F45" s="10" t="s">
        <v>23</v>
      </c>
    </row>
    <row r="46" customFormat="false" ht="15" hidden="false" customHeight="false" outlineLevel="0" collapsed="false">
      <c r="A46" s="4" t="s">
        <v>50</v>
      </c>
      <c r="B46" s="5" t="s">
        <v>51</v>
      </c>
      <c r="C46" s="6" t="n">
        <v>595000</v>
      </c>
      <c r="D46" s="6" t="n">
        <v>535500</v>
      </c>
      <c r="E46" s="7" t="n">
        <v>0.9</v>
      </c>
      <c r="F46" s="5" t="s">
        <v>34</v>
      </c>
    </row>
    <row r="47" customFormat="false" ht="15" hidden="false" customHeight="false" outlineLevel="0" collapsed="false">
      <c r="A47" s="9" t="s">
        <v>94</v>
      </c>
      <c r="B47" s="10" t="s">
        <v>95</v>
      </c>
      <c r="C47" s="11" t="n">
        <v>450000</v>
      </c>
      <c r="D47" s="11" t="n">
        <v>450000</v>
      </c>
      <c r="E47" s="12" t="n">
        <v>1</v>
      </c>
      <c r="F47" s="10" t="s">
        <v>56</v>
      </c>
    </row>
    <row r="48" customFormat="false" ht="15" hidden="false" customHeight="false" outlineLevel="0" collapsed="false">
      <c r="A48" s="4" t="s">
        <v>92</v>
      </c>
      <c r="B48" s="5" t="s">
        <v>93</v>
      </c>
      <c r="C48" s="6" t="n">
        <v>448600</v>
      </c>
      <c r="D48" s="6" t="n">
        <v>448600</v>
      </c>
      <c r="E48" s="7" t="n">
        <v>1</v>
      </c>
      <c r="F48" s="5" t="s">
        <v>56</v>
      </c>
    </row>
    <row r="49" customFormat="false" ht="15" hidden="false" customHeight="false" outlineLevel="0" collapsed="false">
      <c r="A49" s="9" t="s">
        <v>138</v>
      </c>
      <c r="B49" s="10" t="s">
        <v>139</v>
      </c>
      <c r="C49" s="11" t="n">
        <v>426500</v>
      </c>
      <c r="D49" s="11" t="n">
        <v>426500</v>
      </c>
      <c r="E49" s="12" t="n">
        <v>1</v>
      </c>
      <c r="F49" s="10" t="s">
        <v>34</v>
      </c>
    </row>
    <row r="50" customFormat="false" ht="15" hidden="false" customHeight="false" outlineLevel="0" collapsed="false">
      <c r="A50" s="4" t="s">
        <v>58</v>
      </c>
      <c r="B50" s="5" t="s">
        <v>59</v>
      </c>
      <c r="C50" s="6" t="n">
        <v>391825</v>
      </c>
      <c r="D50" s="6" t="n">
        <v>391825</v>
      </c>
      <c r="E50" s="7" t="n">
        <v>1</v>
      </c>
      <c r="F50" s="5" t="s">
        <v>56</v>
      </c>
    </row>
    <row r="51" customFormat="false" ht="15" hidden="false" customHeight="false" outlineLevel="0" collapsed="false">
      <c r="A51" s="9" t="s">
        <v>70</v>
      </c>
      <c r="B51" s="10" t="s">
        <v>71</v>
      </c>
      <c r="C51" s="11" t="n">
        <v>385020</v>
      </c>
      <c r="D51" s="11" t="n">
        <v>385020</v>
      </c>
      <c r="E51" s="12" t="n">
        <v>1</v>
      </c>
      <c r="F51" s="10" t="s">
        <v>23</v>
      </c>
    </row>
    <row r="52" customFormat="false" ht="15" hidden="false" customHeight="false" outlineLevel="0" collapsed="false">
      <c r="A52" s="4" t="s">
        <v>190</v>
      </c>
      <c r="B52" s="5" t="s">
        <v>191</v>
      </c>
      <c r="C52" s="6" t="n">
        <v>239351</v>
      </c>
      <c r="D52" s="6" t="n">
        <v>239351</v>
      </c>
      <c r="E52" s="7" t="n">
        <v>1</v>
      </c>
      <c r="F52" s="5" t="s">
        <v>23</v>
      </c>
    </row>
    <row r="53" customFormat="false" ht="15" hidden="false" customHeight="false" outlineLevel="0" collapsed="false">
      <c r="A53" s="9" t="s">
        <v>90</v>
      </c>
      <c r="B53" s="10" t="s">
        <v>91</v>
      </c>
      <c r="C53" s="11" t="n">
        <v>177000</v>
      </c>
      <c r="D53" s="11" t="n">
        <v>177000</v>
      </c>
      <c r="E53" s="12" t="n">
        <v>1</v>
      </c>
      <c r="F53" s="10" t="s">
        <v>56</v>
      </c>
    </row>
    <row r="54" customFormat="false" ht="15" hidden="false" customHeight="false" outlineLevel="0" collapsed="false">
      <c r="A54" s="4" t="s">
        <v>232</v>
      </c>
      <c r="B54" s="5" t="s">
        <v>233</v>
      </c>
      <c r="C54" s="6" t="n">
        <v>138718</v>
      </c>
      <c r="D54" s="6" t="n">
        <v>138718</v>
      </c>
      <c r="E54" s="7" t="n">
        <v>1</v>
      </c>
      <c r="F54" s="5"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8"/>
    <col collapsed="false" customWidth="true" hidden="false" outlineLevel="0" max="2" min="2" style="0" width="35"/>
    <col collapsed="false" customWidth="true" hidden="false" outlineLevel="0" max="3" min="3" style="0" width="10"/>
    <col collapsed="false" customWidth="true" hidden="false" outlineLevel="0" max="4" min="4" style="0" width="12"/>
    <col collapsed="false" customWidth="true" hidden="false" outlineLevel="0" max="5" min="5" style="0" width="14.4"/>
    <col collapsed="false" customWidth="true" hidden="false" outlineLevel="0" max="6" min="6" style="0" width="24"/>
    <col collapsed="false" customWidth="true" hidden="false" outlineLevel="0" max="7" min="7" style="0" width="12"/>
    <col collapsed="false" customWidth="true" hidden="false" outlineLevel="0" max="8" min="8" style="0" width="24"/>
  </cols>
  <sheetData>
    <row r="1" customFormat="false" ht="15" hidden="false" customHeight="false" outlineLevel="0" collapsed="false">
      <c r="A1" s="1" t="s">
        <v>315</v>
      </c>
    </row>
    <row r="3" customFormat="false" ht="15" hidden="false" customHeight="false" outlineLevel="0" collapsed="false">
      <c r="A3" s="20" t="s">
        <v>316</v>
      </c>
    </row>
    <row r="4" customFormat="false" ht="15" hidden="false" customHeight="false" outlineLevel="0" collapsed="false">
      <c r="A4" s="3" t="s">
        <v>317</v>
      </c>
      <c r="B4" s="3" t="s">
        <v>318</v>
      </c>
    </row>
    <row r="5" customFormat="false" ht="15" hidden="false" customHeight="false" outlineLevel="0" collapsed="false">
      <c r="A5" s="5" t="s">
        <v>319</v>
      </c>
      <c r="B5" s="19" t="n">
        <v>199845280</v>
      </c>
    </row>
    <row r="6" customFormat="false" ht="15" hidden="false" customHeight="false" outlineLevel="0" collapsed="false">
      <c r="A6" s="10" t="s">
        <v>320</v>
      </c>
      <c r="B6" s="11" t="n">
        <v>77368276</v>
      </c>
    </row>
    <row r="7" customFormat="false" ht="15" hidden="false" customHeight="false" outlineLevel="0" collapsed="false">
      <c r="A7" s="5" t="s">
        <v>321</v>
      </c>
      <c r="B7" s="19" t="n">
        <v>91024247.3</v>
      </c>
    </row>
    <row r="8" customFormat="false" ht="15" hidden="false" customHeight="false" outlineLevel="0" collapsed="false">
      <c r="A8" s="10" t="s">
        <v>322</v>
      </c>
      <c r="B8" s="11" t="n">
        <v>28468354.53891</v>
      </c>
    </row>
    <row r="9" customFormat="false" ht="15" hidden="false" customHeight="false" outlineLevel="0" collapsed="false">
      <c r="A9" s="5" t="s">
        <v>323</v>
      </c>
      <c r="B9" s="6" t="n">
        <v>7661882.07</v>
      </c>
    </row>
    <row r="10" customFormat="false" ht="15" hidden="false" customHeight="false" outlineLevel="0" collapsed="false">
      <c r="A10" s="10" t="s">
        <v>324</v>
      </c>
      <c r="B10" s="11" t="n">
        <v>36130236.60891</v>
      </c>
    </row>
    <row r="11" customFormat="false" ht="15" hidden="false" customHeight="false" outlineLevel="0" collapsed="false">
      <c r="A11" s="5" t="s">
        <v>325</v>
      </c>
      <c r="B11" s="6" t="n">
        <v>54894010.69109</v>
      </c>
    </row>
    <row r="12" customFormat="false" ht="15" hidden="false" customHeight="false" outlineLevel="0" collapsed="false">
      <c r="A12" s="10" t="s">
        <v>326</v>
      </c>
      <c r="B12" s="19" t="n">
        <v>108821032.7</v>
      </c>
    </row>
    <row r="14" customFormat="false" ht="15" hidden="false" customHeight="false" outlineLevel="0" collapsed="false">
      <c r="A14" s="20" t="s">
        <v>327</v>
      </c>
    </row>
    <row r="15" customFormat="false" ht="15" hidden="false" customHeight="false" outlineLevel="0" collapsed="false">
      <c r="A15" s="3" t="s">
        <v>3</v>
      </c>
      <c r="B15" s="3" t="s">
        <v>4</v>
      </c>
      <c r="C15" s="3" t="s">
        <v>6</v>
      </c>
      <c r="D15" s="3" t="s">
        <v>16</v>
      </c>
      <c r="E15" s="3" t="s">
        <v>328</v>
      </c>
      <c r="F15" s="3" t="s">
        <v>329</v>
      </c>
      <c r="G15" s="3" t="s">
        <v>330</v>
      </c>
      <c r="H15" s="3" t="s">
        <v>331</v>
      </c>
    </row>
    <row r="16" customFormat="false" ht="15" hidden="false" customHeight="false" outlineLevel="0" collapsed="false">
      <c r="A16" s="4" t="s">
        <v>132</v>
      </c>
      <c r="B16" s="5" t="s">
        <v>133</v>
      </c>
      <c r="C16" s="6" t="n">
        <v>81000000</v>
      </c>
      <c r="D16" s="6" t="n">
        <v>48600000</v>
      </c>
      <c r="E16" s="6" t="n">
        <v>2280198.89</v>
      </c>
      <c r="F16" s="7" t="n">
        <v>0.0469176726337449</v>
      </c>
      <c r="G16" s="6" t="n">
        <v>32400000</v>
      </c>
      <c r="H16" s="7" t="n">
        <v>0.4</v>
      </c>
    </row>
    <row r="17" customFormat="false" ht="15" hidden="false" customHeight="false" outlineLevel="0" collapsed="false">
      <c r="A17" s="9" t="s">
        <v>62</v>
      </c>
      <c r="B17" s="10" t="s">
        <v>63</v>
      </c>
      <c r="C17" s="11" t="n">
        <v>14445500</v>
      </c>
      <c r="D17" s="11" t="n">
        <v>248000</v>
      </c>
      <c r="E17" s="11" t="n">
        <v>1106951.45</v>
      </c>
      <c r="F17" s="12" t="n">
        <v>4.46351391129032</v>
      </c>
      <c r="G17" s="11" t="n">
        <v>14197500</v>
      </c>
      <c r="H17" s="12" t="n">
        <v>0.982832023813644</v>
      </c>
    </row>
    <row r="18" customFormat="false" ht="15" hidden="false" customHeight="false" outlineLevel="0" collapsed="false">
      <c r="A18" s="4" t="s">
        <v>127</v>
      </c>
      <c r="B18" s="5" t="s">
        <v>128</v>
      </c>
      <c r="C18" s="6" t="n">
        <v>11560000</v>
      </c>
      <c r="D18" s="6" t="n">
        <v>6936000</v>
      </c>
      <c r="E18" s="6" t="n">
        <v>2437390.06</v>
      </c>
      <c r="F18" s="7" t="n">
        <v>0.351411485005767</v>
      </c>
      <c r="G18" s="6" t="n">
        <v>4624000</v>
      </c>
      <c r="H18" s="7" t="n">
        <v>0.4</v>
      </c>
    </row>
    <row r="19" customFormat="false" ht="15" hidden="false" customHeight="false" outlineLevel="0" collapsed="false">
      <c r="A19" s="9" t="s">
        <v>30</v>
      </c>
      <c r="B19" s="10" t="s">
        <v>31</v>
      </c>
      <c r="C19" s="11" t="n">
        <v>10900800</v>
      </c>
      <c r="D19" s="11" t="n">
        <v>1634440</v>
      </c>
      <c r="E19" s="11" t="n">
        <v>234363.49</v>
      </c>
      <c r="F19" s="12" t="n">
        <v>0.143390696507672</v>
      </c>
      <c r="G19" s="11" t="n">
        <v>9266360</v>
      </c>
      <c r="H19" s="12" t="n">
        <v>0.850062380742698</v>
      </c>
    </row>
    <row r="20" customFormat="false" ht="15" hidden="false" customHeight="false" outlineLevel="0" collapsed="false">
      <c r="A20" s="4" t="s">
        <v>130</v>
      </c>
      <c r="B20" s="5" t="s">
        <v>131</v>
      </c>
      <c r="C20" s="6" t="n">
        <v>9885200</v>
      </c>
      <c r="D20" s="6" t="n">
        <v>600000</v>
      </c>
      <c r="E20" s="6" t="n">
        <v>1595146.3</v>
      </c>
      <c r="F20" s="7" t="n">
        <v>2.65857716666667</v>
      </c>
      <c r="G20" s="6" t="n">
        <v>9285200</v>
      </c>
      <c r="H20" s="7" t="n">
        <v>0.939303200744547</v>
      </c>
    </row>
    <row r="21" customFormat="false" ht="15" hidden="false" customHeight="false" outlineLevel="0" collapsed="false">
      <c r="A21" s="9" t="s">
        <v>37</v>
      </c>
      <c r="B21" s="10" t="s">
        <v>38</v>
      </c>
      <c r="C21" s="11" t="n">
        <v>9242900</v>
      </c>
      <c r="D21" s="11" t="n">
        <v>252000</v>
      </c>
      <c r="E21" s="11" t="n">
        <v>365051.46</v>
      </c>
      <c r="F21" s="12" t="n">
        <v>1.44861690476191</v>
      </c>
      <c r="G21" s="11" t="n">
        <v>8990900</v>
      </c>
      <c r="H21" s="12" t="n">
        <v>0.97273582966385</v>
      </c>
    </row>
    <row r="22" customFormat="false" ht="15" hidden="false" customHeight="false" outlineLevel="0" collapsed="false">
      <c r="A22" s="4" t="s">
        <v>179</v>
      </c>
      <c r="B22" s="4" t="s">
        <v>180</v>
      </c>
      <c r="C22" s="6" t="n">
        <v>8061870</v>
      </c>
      <c r="D22" s="6" t="n">
        <v>3949390</v>
      </c>
      <c r="E22" s="6" t="n">
        <v>1939679.75</v>
      </c>
      <c r="F22" s="7" t="n">
        <v>0.491134010568721</v>
      </c>
      <c r="G22" s="6" t="n">
        <v>4112480</v>
      </c>
      <c r="H22" s="7" t="n">
        <v>0.510114898900627</v>
      </c>
    </row>
    <row r="23" customFormat="false" ht="15" hidden="false" customHeight="false" outlineLevel="0" collapsed="false">
      <c r="A23" s="9" t="s">
        <v>247</v>
      </c>
      <c r="B23" s="10" t="s">
        <v>248</v>
      </c>
      <c r="C23" s="11" t="n">
        <v>5000000</v>
      </c>
      <c r="D23" s="11" t="n">
        <v>3777740</v>
      </c>
      <c r="E23" s="11" t="n">
        <v>507634.61</v>
      </c>
      <c r="F23" s="12" t="n">
        <v>0.134375211105052</v>
      </c>
      <c r="G23" s="11" t="n">
        <v>1222260</v>
      </c>
      <c r="H23" s="12" t="n">
        <v>0.244452</v>
      </c>
    </row>
    <row r="24" customFormat="false" ht="15" hidden="false" customHeight="false" outlineLevel="0" collapsed="false">
      <c r="A24" s="4" t="s">
        <v>254</v>
      </c>
      <c r="B24" s="5" t="s">
        <v>255</v>
      </c>
      <c r="C24" s="6" t="n">
        <v>4546000</v>
      </c>
      <c r="D24" s="6" t="n">
        <v>562848</v>
      </c>
      <c r="E24" s="6" t="n">
        <v>299509.96</v>
      </c>
      <c r="F24" s="7" t="n">
        <v>0.532132938200011</v>
      </c>
      <c r="G24" s="6" t="n">
        <v>3983152</v>
      </c>
      <c r="H24" s="7" t="n">
        <v>0.876188297404311</v>
      </c>
    </row>
    <row r="25" customFormat="false" ht="15" hidden="false" customHeight="false" outlineLevel="0" collapsed="false">
      <c r="A25" s="9" t="s">
        <v>76</v>
      </c>
      <c r="B25" s="10" t="s">
        <v>77</v>
      </c>
      <c r="C25" s="11" t="n">
        <v>3780000</v>
      </c>
      <c r="D25" s="11" t="n">
        <v>3213000</v>
      </c>
      <c r="E25" s="11" t="n">
        <v>853375.78</v>
      </c>
      <c r="F25" s="12" t="n">
        <v>0.265600927482104</v>
      </c>
      <c r="G25" s="11" t="n">
        <v>567000</v>
      </c>
      <c r="H25" s="12" t="n">
        <v>0.15</v>
      </c>
    </row>
    <row r="26" customFormat="false" ht="15" hidden="false" customHeight="false" outlineLevel="0" collapsed="false">
      <c r="A26" s="4" t="s">
        <v>140</v>
      </c>
      <c r="B26" s="5" t="s">
        <v>141</v>
      </c>
      <c r="C26" s="6" t="n">
        <v>2904950</v>
      </c>
      <c r="D26" s="6" t="n">
        <v>104320</v>
      </c>
      <c r="E26" s="6" t="n">
        <v>21450</v>
      </c>
      <c r="F26" s="7" t="n">
        <v>0.205617331288344</v>
      </c>
      <c r="G26" s="6" t="n">
        <v>2800630</v>
      </c>
      <c r="H26" s="7" t="n">
        <v>0.964088882769067</v>
      </c>
    </row>
    <row r="27" customFormat="false" ht="15" hidden="false" customHeight="false" outlineLevel="0" collapsed="false">
      <c r="A27" s="9" t="s">
        <v>27</v>
      </c>
      <c r="B27" s="10" t="s">
        <v>28</v>
      </c>
      <c r="C27" s="11" t="n">
        <v>2320000</v>
      </c>
      <c r="D27" s="11" t="n">
        <v>979200</v>
      </c>
      <c r="E27" s="11" t="n">
        <v>989731.5</v>
      </c>
      <c r="F27" s="12" t="n">
        <v>1.01075520833333</v>
      </c>
      <c r="G27" s="11" t="n">
        <v>1340800</v>
      </c>
      <c r="H27" s="12" t="n">
        <v>0.577931034482759</v>
      </c>
    </row>
    <row r="28" customFormat="false" ht="15" hidden="false" customHeight="false" outlineLevel="0" collapsed="false">
      <c r="A28" s="4" t="s">
        <v>210</v>
      </c>
      <c r="B28" s="4" t="s">
        <v>211</v>
      </c>
      <c r="C28" s="6" t="n">
        <v>2310000</v>
      </c>
      <c r="D28" s="6" t="n">
        <v>343900</v>
      </c>
      <c r="E28" s="6" t="n">
        <v>361753.5</v>
      </c>
      <c r="F28" s="7" t="n">
        <v>1.05191480081419</v>
      </c>
      <c r="G28" s="6" t="n">
        <v>1966100</v>
      </c>
      <c r="H28" s="7" t="n">
        <v>0.851125541125541</v>
      </c>
    </row>
    <row r="29" customFormat="false" ht="15" hidden="false" customHeight="false" outlineLevel="0" collapsed="false">
      <c r="A29" s="9" t="s">
        <v>107</v>
      </c>
      <c r="B29" s="10" t="s">
        <v>108</v>
      </c>
      <c r="C29" s="11" t="n">
        <v>1961000</v>
      </c>
      <c r="D29" s="11" t="n">
        <v>243000</v>
      </c>
      <c r="E29" s="11" t="n">
        <v>842510.71</v>
      </c>
      <c r="F29" s="12" t="n">
        <v>3.46712226337449</v>
      </c>
      <c r="G29" s="11" t="n">
        <v>1718000</v>
      </c>
      <c r="H29" s="12" t="n">
        <v>0.876083630800612</v>
      </c>
    </row>
    <row r="30" customFormat="false" ht="15" hidden="false" customHeight="false" outlineLevel="0" collapsed="false">
      <c r="A30" s="4" t="s">
        <v>18</v>
      </c>
      <c r="B30" s="5" t="s">
        <v>19</v>
      </c>
      <c r="C30" s="6" t="n">
        <v>1813950</v>
      </c>
      <c r="D30" s="6" t="n">
        <v>1210000</v>
      </c>
      <c r="E30" s="6" t="n">
        <v>1424060.37</v>
      </c>
      <c r="F30" s="7" t="n">
        <v>1.17690939669422</v>
      </c>
      <c r="G30" s="6" t="n">
        <v>603950</v>
      </c>
      <c r="H30" s="7" t="n">
        <v>0.332947435155324</v>
      </c>
    </row>
    <row r="31" customFormat="false" ht="15" hidden="false" customHeight="false" outlineLevel="0" collapsed="false">
      <c r="A31" s="9" t="s">
        <v>65</v>
      </c>
      <c r="B31" s="10" t="s">
        <v>66</v>
      </c>
      <c r="C31" s="11" t="n">
        <v>1785350</v>
      </c>
      <c r="D31" s="11" t="n">
        <v>1071210</v>
      </c>
      <c r="E31" s="11" t="n">
        <v>601454.9</v>
      </c>
      <c r="F31" s="12" t="n">
        <v>0.561472447045864</v>
      </c>
      <c r="G31" s="11" t="n">
        <v>714140</v>
      </c>
      <c r="H31" s="12" t="n">
        <v>0.4</v>
      </c>
    </row>
    <row r="32" customFormat="false" ht="15" hidden="false" customHeight="false" outlineLevel="0" collapsed="false">
      <c r="A32" s="4" t="s">
        <v>142</v>
      </c>
      <c r="B32" s="5" t="s">
        <v>143</v>
      </c>
      <c r="C32" s="6" t="n">
        <v>1560000</v>
      </c>
      <c r="D32" s="6" t="n">
        <v>86000</v>
      </c>
      <c r="E32" s="6" t="n">
        <v>19983.5</v>
      </c>
      <c r="F32" s="7" t="n">
        <v>0.232366279069767</v>
      </c>
      <c r="G32" s="6" t="n">
        <v>1474000</v>
      </c>
      <c r="H32" s="7" t="n">
        <v>0.944871794871795</v>
      </c>
    </row>
    <row r="33" customFormat="false" ht="15" hidden="false" customHeight="false" outlineLevel="0" collapsed="false">
      <c r="A33" s="9" t="s">
        <v>274</v>
      </c>
      <c r="B33" s="10" t="s">
        <v>275</v>
      </c>
      <c r="C33" s="11" t="n">
        <v>1400000</v>
      </c>
      <c r="D33" s="11" t="n">
        <v>705860</v>
      </c>
      <c r="E33" s="11" t="n">
        <v>139516.74</v>
      </c>
      <c r="F33" s="12" t="n">
        <v>0.197654974074179</v>
      </c>
      <c r="G33" s="11" t="n">
        <v>694140</v>
      </c>
      <c r="H33" s="12" t="n">
        <v>0.495814285714286</v>
      </c>
    </row>
    <row r="34" customFormat="false" ht="15" hidden="false" customHeight="false" outlineLevel="0" collapsed="false">
      <c r="A34" s="4" t="s">
        <v>272</v>
      </c>
      <c r="B34" s="5" t="s">
        <v>273</v>
      </c>
      <c r="C34" s="6" t="n">
        <v>1350000</v>
      </c>
      <c r="D34" s="6" t="n">
        <v>561263</v>
      </c>
      <c r="E34" s="6" t="n">
        <v>69183</v>
      </c>
      <c r="F34" s="7" t="n">
        <v>0.123263069185035</v>
      </c>
      <c r="G34" s="6" t="n">
        <v>788737</v>
      </c>
      <c r="H34" s="7" t="n">
        <v>0.58424962962963</v>
      </c>
    </row>
    <row r="35" customFormat="false" ht="15" hidden="false" customHeight="false" outlineLevel="0" collapsed="false">
      <c r="A35" s="9" t="s">
        <v>60</v>
      </c>
      <c r="B35" s="10" t="s">
        <v>61</v>
      </c>
      <c r="C35" s="11" t="n">
        <v>1300000</v>
      </c>
      <c r="D35" s="11" t="n">
        <v>869898</v>
      </c>
      <c r="E35" s="11" t="n">
        <v>822991.64</v>
      </c>
      <c r="F35" s="12" t="n">
        <v>0.946078321826237</v>
      </c>
      <c r="G35" s="11" t="n">
        <v>430102</v>
      </c>
      <c r="H35" s="12" t="n">
        <v>0.330847692307692</v>
      </c>
    </row>
    <row r="36" customFormat="false" ht="15" hidden="false" customHeight="false" outlineLevel="0" collapsed="false">
      <c r="A36" s="4" t="s">
        <v>167</v>
      </c>
      <c r="B36" s="5" t="s">
        <v>168</v>
      </c>
      <c r="C36" s="6" t="n">
        <v>1220830</v>
      </c>
      <c r="D36" s="6" t="n">
        <v>732498</v>
      </c>
      <c r="E36" s="6" t="n">
        <v>343200</v>
      </c>
      <c r="F36" s="7" t="n">
        <v>0.468533702481099</v>
      </c>
      <c r="G36" s="6" t="n">
        <v>488332</v>
      </c>
      <c r="H36" s="7" t="n">
        <v>0.4</v>
      </c>
    </row>
    <row r="37" customFormat="false" ht="15" hidden="false" customHeight="false" outlineLevel="0" collapsed="false">
      <c r="A37" s="9" t="s">
        <v>155</v>
      </c>
      <c r="B37" s="10" t="s">
        <v>156</v>
      </c>
      <c r="C37" s="11" t="n">
        <v>1060500</v>
      </c>
      <c r="D37" s="11" t="n">
        <v>1060500</v>
      </c>
      <c r="E37" s="11" t="n">
        <v>1089438.6106</v>
      </c>
      <c r="F37" s="12" t="n">
        <v>1.02728770447902</v>
      </c>
      <c r="G37" s="11" t="n">
        <v>0</v>
      </c>
      <c r="H37" s="12" t="n">
        <v>0</v>
      </c>
    </row>
    <row r="38" customFormat="false" ht="15" hidden="false" customHeight="false" outlineLevel="0" collapsed="false">
      <c r="A38" s="4" t="s">
        <v>52</v>
      </c>
      <c r="B38" s="5" t="s">
        <v>53</v>
      </c>
      <c r="C38" s="6" t="n">
        <v>1038920</v>
      </c>
      <c r="D38" s="6" t="n">
        <v>423317</v>
      </c>
      <c r="E38" s="6" t="n">
        <v>277349.27</v>
      </c>
      <c r="F38" s="7" t="n">
        <v>0.655181034543853</v>
      </c>
      <c r="G38" s="6" t="n">
        <v>615603</v>
      </c>
      <c r="H38" s="7" t="n">
        <v>0.592541292881069</v>
      </c>
    </row>
    <row r="39" customFormat="false" ht="15" hidden="false" customHeight="false" outlineLevel="0" collapsed="false">
      <c r="A39" s="9" t="s">
        <v>72</v>
      </c>
      <c r="B39" s="10" t="s">
        <v>73</v>
      </c>
      <c r="C39" s="11" t="n">
        <v>949800</v>
      </c>
      <c r="D39" s="11" t="n">
        <v>569880</v>
      </c>
      <c r="E39" s="11" t="n">
        <v>70073.66</v>
      </c>
      <c r="F39" s="12" t="n">
        <v>0.122962132378746</v>
      </c>
      <c r="G39" s="11" t="n">
        <v>379920</v>
      </c>
      <c r="H39" s="12" t="n">
        <v>0.4</v>
      </c>
    </row>
    <row r="40" customFormat="false" ht="15" hidden="false" customHeight="false" outlineLevel="0" collapsed="false">
      <c r="A40" s="4" t="s">
        <v>47</v>
      </c>
      <c r="B40" s="5" t="s">
        <v>48</v>
      </c>
      <c r="C40" s="6" t="n">
        <v>879000</v>
      </c>
      <c r="D40" s="6" t="n">
        <v>527400</v>
      </c>
      <c r="E40" s="6" t="n">
        <v>143000</v>
      </c>
      <c r="F40" s="7" t="n">
        <v>0.271141448615851</v>
      </c>
      <c r="G40" s="6" t="n">
        <v>351600</v>
      </c>
      <c r="H40" s="7" t="n">
        <v>0.4</v>
      </c>
    </row>
    <row r="41" customFormat="false" ht="15" hidden="false" customHeight="false" outlineLevel="0" collapsed="false">
      <c r="A41" s="9" t="s">
        <v>219</v>
      </c>
      <c r="B41" s="10" t="s">
        <v>220</v>
      </c>
      <c r="C41" s="11" t="n">
        <v>750000</v>
      </c>
      <c r="D41" s="11" t="n">
        <v>481000</v>
      </c>
      <c r="E41" s="11" t="n">
        <v>51051</v>
      </c>
      <c r="F41" s="12" t="n">
        <v>0.106135135135135</v>
      </c>
      <c r="G41" s="11" t="n">
        <v>269000</v>
      </c>
      <c r="H41" s="12" t="n">
        <v>0.358666666666667</v>
      </c>
    </row>
    <row r="42" customFormat="false" ht="15" hidden="false" customHeight="false" outlineLevel="0" collapsed="false">
      <c r="A42" s="4" t="s">
        <v>176</v>
      </c>
      <c r="B42" s="5" t="s">
        <v>177</v>
      </c>
      <c r="C42" s="6" t="n">
        <v>677000</v>
      </c>
      <c r="D42" s="6" t="n">
        <v>677000</v>
      </c>
      <c r="E42" s="6" t="n">
        <v>262444.9</v>
      </c>
      <c r="F42" s="7" t="n">
        <v>0.387658641063516</v>
      </c>
      <c r="G42" s="6" t="n">
        <v>0</v>
      </c>
      <c r="H42" s="7" t="n">
        <v>0</v>
      </c>
    </row>
    <row r="43" customFormat="false" ht="15" hidden="false" customHeight="false" outlineLevel="0" collapsed="false">
      <c r="A43" s="9" t="s">
        <v>165</v>
      </c>
      <c r="B43" s="10" t="s">
        <v>166</v>
      </c>
      <c r="C43" s="11" t="n">
        <v>675000</v>
      </c>
      <c r="D43" s="11" t="n">
        <v>297000</v>
      </c>
      <c r="E43" s="11" t="n">
        <v>483639</v>
      </c>
      <c r="F43" s="12" t="n">
        <v>1.62841414141414</v>
      </c>
      <c r="G43" s="11" t="n">
        <v>378000</v>
      </c>
      <c r="H43" s="12" t="n">
        <v>0.56</v>
      </c>
    </row>
    <row r="44" customFormat="false" ht="15" hidden="false" customHeight="false" outlineLevel="0" collapsed="false">
      <c r="A44" s="4" t="s">
        <v>153</v>
      </c>
      <c r="B44" s="5" t="s">
        <v>154</v>
      </c>
      <c r="C44" s="6" t="n">
        <v>635000</v>
      </c>
      <c r="D44" s="6" t="n">
        <v>508000</v>
      </c>
      <c r="E44" s="6" t="n">
        <v>22206</v>
      </c>
      <c r="F44" s="7" t="n">
        <v>0.0437125984251968</v>
      </c>
      <c r="G44" s="6" t="n">
        <v>127000</v>
      </c>
      <c r="H44" s="7" t="n">
        <v>0.2</v>
      </c>
    </row>
    <row r="45" customFormat="false" ht="15" hidden="false" customHeight="false" outlineLevel="0" collapsed="false">
      <c r="A45" s="9" t="s">
        <v>80</v>
      </c>
      <c r="B45" s="10" t="s">
        <v>81</v>
      </c>
      <c r="C45" s="11" t="n">
        <v>606650</v>
      </c>
      <c r="D45" s="11" t="n">
        <v>363990</v>
      </c>
      <c r="E45" s="11" t="n">
        <v>783211</v>
      </c>
      <c r="F45" s="12" t="n">
        <v>2.15173768510124</v>
      </c>
      <c r="G45" s="11" t="n">
        <v>242660</v>
      </c>
      <c r="H45" s="12" t="n">
        <v>0.4</v>
      </c>
    </row>
    <row r="46" customFormat="false" ht="15" hidden="false" customHeight="false" outlineLevel="0" collapsed="false">
      <c r="A46" s="4" t="s">
        <v>50</v>
      </c>
      <c r="B46" s="5" t="s">
        <v>51</v>
      </c>
      <c r="C46" s="6" t="n">
        <v>595000</v>
      </c>
      <c r="D46" s="6" t="n">
        <v>281292</v>
      </c>
      <c r="E46" s="6" t="n">
        <v>334977.28</v>
      </c>
      <c r="F46" s="7" t="n">
        <v>1.19085249491632</v>
      </c>
      <c r="G46" s="6" t="n">
        <v>313708</v>
      </c>
      <c r="H46" s="7" t="n">
        <v>0.527240336134454</v>
      </c>
    </row>
    <row r="47" customFormat="false" ht="15" hidden="false" customHeight="false" outlineLevel="0" collapsed="false">
      <c r="A47" s="9" t="s">
        <v>146</v>
      </c>
      <c r="B47" s="10" t="s">
        <v>147</v>
      </c>
      <c r="C47" s="11" t="n">
        <v>582600</v>
      </c>
      <c r="D47" s="11" t="n">
        <v>582600</v>
      </c>
      <c r="E47" s="11" t="n">
        <v>725075.95</v>
      </c>
      <c r="F47" s="12" t="n">
        <v>1.24455192241675</v>
      </c>
      <c r="G47" s="11" t="n">
        <v>0</v>
      </c>
      <c r="H47" s="12" t="n">
        <v>0</v>
      </c>
    </row>
    <row r="48" customFormat="false" ht="15" hidden="false" customHeight="false" outlineLevel="0" collapsed="false">
      <c r="A48" s="4" t="s">
        <v>216</v>
      </c>
      <c r="B48" s="5" t="s">
        <v>217</v>
      </c>
      <c r="C48" s="6" t="n">
        <v>562500</v>
      </c>
      <c r="D48" s="6" t="n">
        <v>294550</v>
      </c>
      <c r="E48" s="6" t="n">
        <v>227799</v>
      </c>
      <c r="F48" s="7" t="n">
        <v>0.773379731794262</v>
      </c>
      <c r="G48" s="6" t="n">
        <v>267950</v>
      </c>
      <c r="H48" s="7" t="n">
        <v>0.476355555555555</v>
      </c>
    </row>
    <row r="49" customFormat="false" ht="15" hidden="false" customHeight="false" outlineLevel="0" collapsed="false">
      <c r="A49" s="9" t="s">
        <v>68</v>
      </c>
      <c r="B49" s="10" t="s">
        <v>69</v>
      </c>
      <c r="C49" s="11" t="n">
        <v>559000</v>
      </c>
      <c r="D49" s="11" t="n">
        <v>335400</v>
      </c>
      <c r="E49" s="11" t="n">
        <v>59504.65</v>
      </c>
      <c r="F49" s="12" t="n">
        <v>0.177413983303518</v>
      </c>
      <c r="G49" s="11" t="n">
        <v>223600</v>
      </c>
      <c r="H49" s="12" t="n">
        <v>0.4</v>
      </c>
    </row>
    <row r="50" customFormat="false" ht="15" hidden="false" customHeight="false" outlineLevel="0" collapsed="false">
      <c r="A50" s="4" t="s">
        <v>151</v>
      </c>
      <c r="B50" s="5" t="s">
        <v>152</v>
      </c>
      <c r="C50" s="6" t="n">
        <v>556200</v>
      </c>
      <c r="D50" s="6" t="n">
        <v>461568</v>
      </c>
      <c r="E50" s="6" t="n">
        <v>208130.71</v>
      </c>
      <c r="F50" s="7" t="n">
        <v>0.450921012721852</v>
      </c>
      <c r="G50" s="6" t="n">
        <v>94632</v>
      </c>
      <c r="H50" s="7" t="n">
        <v>0.170140237324703</v>
      </c>
    </row>
    <row r="51" customFormat="false" ht="15" hidden="false" customHeight="false" outlineLevel="0" collapsed="false">
      <c r="A51" s="9" t="s">
        <v>188</v>
      </c>
      <c r="B51" s="10" t="s">
        <v>189</v>
      </c>
      <c r="C51" s="11" t="n">
        <v>514500</v>
      </c>
      <c r="D51" s="11" t="n">
        <v>514500</v>
      </c>
      <c r="E51" s="11" t="n">
        <v>447018</v>
      </c>
      <c r="F51" s="12" t="n">
        <v>0.868839650145773</v>
      </c>
      <c r="G51" s="11" t="n">
        <v>0</v>
      </c>
      <c r="H51" s="12" t="n">
        <v>0</v>
      </c>
    </row>
    <row r="52" customFormat="false" ht="15" hidden="false" customHeight="false" outlineLevel="0" collapsed="false">
      <c r="A52" s="4" t="s">
        <v>245</v>
      </c>
      <c r="B52" s="5" t="s">
        <v>246</v>
      </c>
      <c r="C52" s="6" t="n">
        <v>500000</v>
      </c>
      <c r="D52" s="6" t="n">
        <v>454800</v>
      </c>
      <c r="E52" s="6" t="n">
        <v>195269.5</v>
      </c>
      <c r="F52" s="7" t="n">
        <v>0.429352462620932</v>
      </c>
      <c r="G52" s="6" t="n">
        <v>45200</v>
      </c>
      <c r="H52" s="7" t="n">
        <v>0.0904</v>
      </c>
    </row>
    <row r="53" customFormat="false" ht="15" hidden="false" customHeight="false" outlineLevel="0" collapsed="false">
      <c r="A53" s="9" t="s">
        <v>136</v>
      </c>
      <c r="B53" s="10" t="s">
        <v>137</v>
      </c>
      <c r="C53" s="11" t="n">
        <v>463550</v>
      </c>
      <c r="D53" s="11" t="n">
        <v>535050</v>
      </c>
      <c r="E53" s="11" t="n">
        <v>980252.06</v>
      </c>
      <c r="F53" s="12" t="n">
        <v>1.83207561910102</v>
      </c>
      <c r="G53" s="11" t="n">
        <v>-71500</v>
      </c>
      <c r="H53" s="12" t="n">
        <v>-0.154244418077877</v>
      </c>
    </row>
    <row r="54" customFormat="false" ht="15" hidden="false" customHeight="false" outlineLevel="0" collapsed="false">
      <c r="A54" s="4" t="s">
        <v>186</v>
      </c>
      <c r="B54" s="5" t="s">
        <v>187</v>
      </c>
      <c r="C54" s="6" t="n">
        <v>460000</v>
      </c>
      <c r="D54" s="6" t="n">
        <v>311683</v>
      </c>
      <c r="E54" s="6" t="n">
        <v>309737.63</v>
      </c>
      <c r="F54" s="7" t="n">
        <v>0.99375849821774</v>
      </c>
      <c r="G54" s="6" t="n">
        <v>148317</v>
      </c>
      <c r="H54" s="7" t="n">
        <v>0.322428260869565</v>
      </c>
    </row>
    <row r="55" customFormat="false" ht="15" hidden="false" customHeight="false" outlineLevel="0" collapsed="false">
      <c r="A55" s="9" t="s">
        <v>94</v>
      </c>
      <c r="B55" s="10" t="s">
        <v>95</v>
      </c>
      <c r="C55" s="11" t="n">
        <v>450000</v>
      </c>
      <c r="D55" s="11" t="n">
        <v>270000</v>
      </c>
      <c r="E55" s="11" t="n">
        <v>393651.13</v>
      </c>
      <c r="F55" s="12" t="n">
        <v>1.45796714814815</v>
      </c>
      <c r="G55" s="11" t="n">
        <v>180000</v>
      </c>
      <c r="H55" s="12" t="n">
        <v>0.4</v>
      </c>
    </row>
    <row r="56" customFormat="false" ht="15" hidden="false" customHeight="false" outlineLevel="0" collapsed="false">
      <c r="A56" s="4" t="s">
        <v>92</v>
      </c>
      <c r="B56" s="5" t="s">
        <v>93</v>
      </c>
      <c r="C56" s="6" t="n">
        <v>448600</v>
      </c>
      <c r="D56" s="6" t="n">
        <v>219345</v>
      </c>
      <c r="E56" s="6" t="n">
        <v>390630.85</v>
      </c>
      <c r="F56" s="7" t="n">
        <v>1.780896988762</v>
      </c>
      <c r="G56" s="6" t="n">
        <v>229255</v>
      </c>
      <c r="H56" s="7" t="n">
        <v>0.511045474810522</v>
      </c>
    </row>
    <row r="57" customFormat="false" ht="15" hidden="false" customHeight="false" outlineLevel="0" collapsed="false">
      <c r="A57" s="9" t="s">
        <v>149</v>
      </c>
      <c r="B57" s="10" t="s">
        <v>150</v>
      </c>
      <c r="C57" s="11" t="n">
        <v>430000</v>
      </c>
      <c r="D57" s="11" t="n">
        <v>430000</v>
      </c>
      <c r="E57" s="11" t="n">
        <v>474488.23311</v>
      </c>
      <c r="F57" s="12" t="n">
        <v>1.10346100723256</v>
      </c>
      <c r="G57" s="11" t="n">
        <v>0</v>
      </c>
      <c r="H57" s="12" t="n">
        <v>0</v>
      </c>
    </row>
    <row r="58" customFormat="false" ht="15" hidden="false" customHeight="false" outlineLevel="0" collapsed="false">
      <c r="A58" s="4" t="s">
        <v>138</v>
      </c>
      <c r="B58" s="5" t="s">
        <v>139</v>
      </c>
      <c r="C58" s="6" t="n">
        <v>426500</v>
      </c>
      <c r="D58" s="6" t="n">
        <v>198000</v>
      </c>
      <c r="E58" s="6" t="n">
        <v>68376.09</v>
      </c>
      <c r="F58" s="7" t="n">
        <v>0.345333787878788</v>
      </c>
      <c r="G58" s="6" t="n">
        <v>228500</v>
      </c>
      <c r="H58" s="7" t="n">
        <v>0.535756154747948</v>
      </c>
    </row>
    <row r="59" customFormat="false" ht="15" hidden="false" customHeight="false" outlineLevel="0" collapsed="false">
      <c r="A59" s="9" t="s">
        <v>102</v>
      </c>
      <c r="B59" s="10" t="s">
        <v>103</v>
      </c>
      <c r="C59" s="11" t="n">
        <v>425000</v>
      </c>
      <c r="D59" s="11" t="n">
        <v>235560</v>
      </c>
      <c r="E59" s="11" t="n">
        <v>452236</v>
      </c>
      <c r="F59" s="12" t="n">
        <v>1.91983358804551</v>
      </c>
      <c r="G59" s="11" t="n">
        <v>189440</v>
      </c>
      <c r="H59" s="12" t="n">
        <v>0.445741176470588</v>
      </c>
    </row>
    <row r="60" customFormat="false" ht="15" hidden="false" customHeight="false" outlineLevel="0" collapsed="false">
      <c r="A60" s="4" t="s">
        <v>183</v>
      </c>
      <c r="B60" s="5" t="s">
        <v>184</v>
      </c>
      <c r="C60" s="6" t="n">
        <v>400660</v>
      </c>
      <c r="D60" s="6" t="n">
        <v>400660</v>
      </c>
      <c r="E60" s="6" t="n">
        <v>602143.02</v>
      </c>
      <c r="F60" s="7" t="n">
        <v>1.50287780162732</v>
      </c>
      <c r="G60" s="6" t="n">
        <v>0</v>
      </c>
      <c r="H60" s="7" t="n">
        <v>0</v>
      </c>
    </row>
    <row r="61" customFormat="false" ht="15" hidden="false" customHeight="false" outlineLevel="0" collapsed="false">
      <c r="A61" s="9" t="s">
        <v>198</v>
      </c>
      <c r="B61" s="10" t="s">
        <v>199</v>
      </c>
      <c r="C61" s="11" t="n">
        <v>400000</v>
      </c>
      <c r="D61" s="11" t="n">
        <v>257400</v>
      </c>
      <c r="E61" s="11" t="n">
        <v>248161.59</v>
      </c>
      <c r="F61" s="12" t="n">
        <v>0.964108741258741</v>
      </c>
      <c r="G61" s="11" t="n">
        <v>142600</v>
      </c>
      <c r="H61" s="12" t="n">
        <v>0.3565</v>
      </c>
    </row>
    <row r="62" customFormat="false" ht="15" hidden="false" customHeight="false" outlineLevel="0" collapsed="false">
      <c r="A62" s="4" t="s">
        <v>261</v>
      </c>
      <c r="B62" s="4" t="s">
        <v>262</v>
      </c>
      <c r="C62" s="6" t="n">
        <v>398000</v>
      </c>
      <c r="D62" s="6" t="n">
        <v>28600</v>
      </c>
      <c r="E62" s="6" t="n">
        <v>33331.03</v>
      </c>
      <c r="F62" s="7" t="n">
        <v>1.16542062937063</v>
      </c>
      <c r="G62" s="6" t="n">
        <v>369400</v>
      </c>
      <c r="H62" s="7" t="n">
        <v>0.928140703517588</v>
      </c>
    </row>
    <row r="63" customFormat="false" ht="15" hidden="false" customHeight="false" outlineLevel="0" collapsed="false">
      <c r="A63" s="9" t="s">
        <v>192</v>
      </c>
      <c r="B63" s="9" t="s">
        <v>193</v>
      </c>
      <c r="C63" s="11" t="n">
        <v>396000</v>
      </c>
      <c r="D63" s="11" t="n">
        <v>87300</v>
      </c>
      <c r="E63" s="11" t="n">
        <v>113511</v>
      </c>
      <c r="F63" s="12" t="n">
        <v>1.30024054982818</v>
      </c>
      <c r="G63" s="11" t="n">
        <v>308700</v>
      </c>
      <c r="H63" s="12" t="n">
        <v>0.779545454545455</v>
      </c>
    </row>
    <row r="64" customFormat="false" ht="15" hidden="false" customHeight="false" outlineLevel="0" collapsed="false">
      <c r="A64" s="4" t="s">
        <v>58</v>
      </c>
      <c r="B64" s="5" t="s">
        <v>59</v>
      </c>
      <c r="C64" s="6" t="n">
        <v>391825</v>
      </c>
      <c r="D64" s="6" t="n">
        <v>126612</v>
      </c>
      <c r="E64" s="6" t="n">
        <v>148647.5</v>
      </c>
      <c r="F64" s="7" t="n">
        <v>1.17403958550532</v>
      </c>
      <c r="G64" s="6" t="n">
        <v>265213</v>
      </c>
      <c r="H64" s="7" t="n">
        <v>0.676865947808333</v>
      </c>
    </row>
    <row r="65" customFormat="false" ht="15" hidden="false" customHeight="false" outlineLevel="0" collapsed="false">
      <c r="A65" s="9" t="s">
        <v>70</v>
      </c>
      <c r="B65" s="10" t="s">
        <v>71</v>
      </c>
      <c r="C65" s="11" t="n">
        <v>385020</v>
      </c>
      <c r="D65" s="11" t="n">
        <v>231012</v>
      </c>
      <c r="E65" s="11" t="n">
        <v>69064.41</v>
      </c>
      <c r="F65" s="12" t="n">
        <v>0.298964599241598</v>
      </c>
      <c r="G65" s="11" t="n">
        <v>154008</v>
      </c>
      <c r="H65" s="12" t="n">
        <v>0.4</v>
      </c>
    </row>
    <row r="66" customFormat="false" ht="15" hidden="false" customHeight="false" outlineLevel="0" collapsed="false">
      <c r="A66" s="4" t="s">
        <v>284</v>
      </c>
      <c r="B66" s="5" t="s">
        <v>285</v>
      </c>
      <c r="C66" s="6" t="n">
        <v>371800</v>
      </c>
      <c r="D66" s="6" t="n">
        <v>371800</v>
      </c>
      <c r="E66" s="6" t="n">
        <v>131462.76</v>
      </c>
      <c r="F66" s="7" t="n">
        <v>0.353584615384615</v>
      </c>
      <c r="G66" s="6" t="n">
        <v>0</v>
      </c>
      <c r="H66" s="7" t="n">
        <v>0</v>
      </c>
    </row>
    <row r="67" customFormat="false" ht="15" hidden="false" customHeight="false" outlineLevel="0" collapsed="false">
      <c r="A67" s="9" t="s">
        <v>162</v>
      </c>
      <c r="B67" s="10" t="s">
        <v>163</v>
      </c>
      <c r="C67" s="11" t="n">
        <v>347800</v>
      </c>
      <c r="D67" s="11" t="n">
        <v>90000</v>
      </c>
      <c r="E67" s="11" t="n">
        <v>156829.55</v>
      </c>
      <c r="F67" s="12" t="n">
        <v>1.74255055555556</v>
      </c>
      <c r="G67" s="11" t="n">
        <v>257800</v>
      </c>
      <c r="H67" s="12" t="n">
        <v>0.741230592294422</v>
      </c>
    </row>
    <row r="68" customFormat="false" ht="15" hidden="false" customHeight="false" outlineLevel="0" collapsed="false">
      <c r="A68" s="4" t="s">
        <v>282</v>
      </c>
      <c r="B68" s="4" t="s">
        <v>283</v>
      </c>
      <c r="C68" s="6" t="n">
        <v>342000</v>
      </c>
      <c r="D68" s="6" t="n">
        <v>167100</v>
      </c>
      <c r="E68" s="6" t="n">
        <v>15275.26</v>
      </c>
      <c r="F68" s="7" t="n">
        <v>0.0914138839018552</v>
      </c>
      <c r="G68" s="6" t="n">
        <v>174900</v>
      </c>
      <c r="H68" s="7" t="n">
        <v>0.51140350877193</v>
      </c>
    </row>
    <row r="69" customFormat="false" ht="15" hidden="false" customHeight="false" outlineLevel="0" collapsed="false">
      <c r="A69" s="9" t="s">
        <v>205</v>
      </c>
      <c r="B69" s="9" t="s">
        <v>206</v>
      </c>
      <c r="C69" s="11" t="n">
        <v>342000</v>
      </c>
      <c r="D69" s="11" t="n">
        <v>167100</v>
      </c>
      <c r="E69" s="11" t="n">
        <v>198986.821</v>
      </c>
      <c r="F69" s="12" t="n">
        <v>1.19082478156792</v>
      </c>
      <c r="G69" s="11" t="n">
        <v>174900</v>
      </c>
      <c r="H69" s="12" t="n">
        <v>0.51140350877193</v>
      </c>
    </row>
    <row r="70" customFormat="false" ht="15" hidden="false" customHeight="false" outlineLevel="0" collapsed="false">
      <c r="A70" s="4" t="s">
        <v>241</v>
      </c>
      <c r="B70" s="5" t="s">
        <v>242</v>
      </c>
      <c r="C70" s="6" t="n">
        <v>297500</v>
      </c>
      <c r="D70" s="6" t="n">
        <v>297500</v>
      </c>
      <c r="E70" s="6" t="n">
        <v>86658</v>
      </c>
      <c r="F70" s="7" t="n">
        <v>0.291287394957983</v>
      </c>
      <c r="G70" s="6" t="n">
        <v>0</v>
      </c>
      <c r="H70" s="7" t="n">
        <v>0</v>
      </c>
    </row>
    <row r="71" customFormat="false" ht="15" hidden="false" customHeight="false" outlineLevel="0" collapsed="false">
      <c r="A71" s="9" t="s">
        <v>74</v>
      </c>
      <c r="B71" s="10" t="s">
        <v>75</v>
      </c>
      <c r="C71" s="11" t="n">
        <v>296000</v>
      </c>
      <c r="D71" s="11" t="n">
        <v>177600</v>
      </c>
      <c r="E71" s="11" t="n">
        <v>128434.75</v>
      </c>
      <c r="F71" s="12" t="n">
        <v>0.723168637387387</v>
      </c>
      <c r="G71" s="11" t="n">
        <v>118400</v>
      </c>
      <c r="H71" s="12" t="n">
        <v>0.4</v>
      </c>
    </row>
    <row r="72" customFormat="false" ht="15" hidden="false" customHeight="false" outlineLevel="0" collapsed="false">
      <c r="A72" s="4" t="s">
        <v>99</v>
      </c>
      <c r="B72" s="5" t="s">
        <v>100</v>
      </c>
      <c r="C72" s="6" t="n">
        <v>286000</v>
      </c>
      <c r="D72" s="6" t="n">
        <v>135000</v>
      </c>
      <c r="E72" s="6" t="n">
        <v>395439.71</v>
      </c>
      <c r="F72" s="7" t="n">
        <v>2.92918303703704</v>
      </c>
      <c r="G72" s="6" t="n">
        <v>151000</v>
      </c>
      <c r="H72" s="7" t="n">
        <v>0.527972027972028</v>
      </c>
    </row>
    <row r="73" customFormat="false" ht="15" hidden="false" customHeight="false" outlineLevel="0" collapsed="false">
      <c r="A73" s="9" t="s">
        <v>123</v>
      </c>
      <c r="B73" s="10" t="s">
        <v>124</v>
      </c>
      <c r="C73" s="11" t="n">
        <v>250000</v>
      </c>
      <c r="D73" s="11" t="n">
        <v>250000</v>
      </c>
      <c r="E73" s="11" t="n">
        <v>364412.92</v>
      </c>
      <c r="F73" s="12" t="n">
        <v>1.45765168</v>
      </c>
      <c r="G73" s="11" t="n">
        <v>0</v>
      </c>
      <c r="H73" s="12" t="n">
        <v>0</v>
      </c>
    </row>
    <row r="74" customFormat="false" ht="15" hidden="false" customHeight="false" outlineLevel="0" collapsed="false">
      <c r="A74" s="4" t="s">
        <v>117</v>
      </c>
      <c r="B74" s="5" t="s">
        <v>118</v>
      </c>
      <c r="C74" s="6" t="n">
        <v>250000</v>
      </c>
      <c r="D74" s="6" t="n">
        <v>250000</v>
      </c>
      <c r="E74" s="6" t="n">
        <v>449791.33</v>
      </c>
      <c r="F74" s="7" t="n">
        <v>1.79916532</v>
      </c>
      <c r="G74" s="6" t="n">
        <v>0</v>
      </c>
      <c r="H74" s="7" t="n">
        <v>0</v>
      </c>
    </row>
    <row r="75" customFormat="false" ht="15" hidden="false" customHeight="false" outlineLevel="0" collapsed="false">
      <c r="A75" s="9" t="s">
        <v>190</v>
      </c>
      <c r="B75" s="10" t="s">
        <v>191</v>
      </c>
      <c r="C75" s="11" t="n">
        <v>239351</v>
      </c>
      <c r="D75" s="11" t="n">
        <v>146667</v>
      </c>
      <c r="E75" s="11" t="n">
        <v>15279.03</v>
      </c>
      <c r="F75" s="12" t="n">
        <v>0.104174967784164</v>
      </c>
      <c r="G75" s="11" t="n">
        <v>92684</v>
      </c>
      <c r="H75" s="12" t="n">
        <v>0.387230469060083</v>
      </c>
    </row>
    <row r="76" customFormat="false" ht="15" hidden="false" customHeight="false" outlineLevel="0" collapsed="false">
      <c r="A76" s="4" t="s">
        <v>90</v>
      </c>
      <c r="B76" s="5" t="s">
        <v>91</v>
      </c>
      <c r="C76" s="6" t="n">
        <v>177000</v>
      </c>
      <c r="D76" s="6" t="n">
        <v>80363.5</v>
      </c>
      <c r="E76" s="6" t="n">
        <v>70575.29</v>
      </c>
      <c r="F76" s="7" t="n">
        <v>0.87820080011448</v>
      </c>
      <c r="G76" s="6" t="n">
        <v>96636.5</v>
      </c>
      <c r="H76" s="7" t="n">
        <v>0.545968926553672</v>
      </c>
    </row>
    <row r="77" customFormat="false" ht="15" hidden="false" customHeight="false" outlineLevel="0" collapsed="false">
      <c r="A77" s="9" t="s">
        <v>113</v>
      </c>
      <c r="B77" s="10" t="s">
        <v>114</v>
      </c>
      <c r="C77" s="11" t="n">
        <v>146000</v>
      </c>
      <c r="D77" s="11" t="n">
        <v>30000</v>
      </c>
      <c r="E77" s="11" t="n">
        <v>29029</v>
      </c>
      <c r="F77" s="12" t="n">
        <v>0.967633333333333</v>
      </c>
      <c r="G77" s="11" t="n">
        <v>116000</v>
      </c>
      <c r="H77" s="12" t="n">
        <v>0.794520547945205</v>
      </c>
    </row>
    <row r="78" customFormat="false" ht="15" hidden="false" customHeight="false" outlineLevel="0" collapsed="false">
      <c r="A78" s="4" t="s">
        <v>232</v>
      </c>
      <c r="B78" s="5" t="s">
        <v>233</v>
      </c>
      <c r="C78" s="6" t="n">
        <v>138718</v>
      </c>
      <c r="D78" s="6" t="n">
        <v>83230.8</v>
      </c>
      <c r="E78" s="6" t="n">
        <v>228907.25</v>
      </c>
      <c r="F78" s="7" t="n">
        <v>2.7502709333564</v>
      </c>
      <c r="G78" s="6" t="n">
        <v>55487.2</v>
      </c>
      <c r="H78" s="7" t="n">
        <v>0.4</v>
      </c>
    </row>
    <row r="79" customFormat="false" ht="15" hidden="false" customHeight="false" outlineLevel="0" collapsed="false">
      <c r="A79" s="9" t="s">
        <v>105</v>
      </c>
      <c r="B79" s="10" t="s">
        <v>106</v>
      </c>
      <c r="C79" s="11" t="n">
        <v>138000</v>
      </c>
      <c r="D79" s="11" t="n">
        <v>70000</v>
      </c>
      <c r="E79" s="11" t="n">
        <v>52447.5</v>
      </c>
      <c r="F79" s="12" t="n">
        <v>0.74925</v>
      </c>
      <c r="G79" s="11" t="n">
        <v>68000</v>
      </c>
      <c r="H79" s="12" t="n">
        <v>0.492753623188406</v>
      </c>
    </row>
    <row r="80" customFormat="false" ht="15" hidden="false" customHeight="false" outlineLevel="0" collapsed="false">
      <c r="A80" s="4" t="s">
        <v>243</v>
      </c>
      <c r="B80" s="5" t="s">
        <v>244</v>
      </c>
      <c r="C80" s="6" t="n">
        <v>130000</v>
      </c>
      <c r="D80" s="6" t="n">
        <v>60600</v>
      </c>
      <c r="E80" s="6" t="n">
        <v>80795</v>
      </c>
      <c r="F80" s="7" t="n">
        <v>1.33325082508251</v>
      </c>
      <c r="G80" s="6" t="n">
        <v>69400</v>
      </c>
      <c r="H80" s="7" t="n">
        <v>0.533846153846154</v>
      </c>
    </row>
    <row r="81" customFormat="false" ht="15" hidden="false" customHeight="false" outlineLevel="0" collapsed="false">
      <c r="A81" s="9" t="s">
        <v>234</v>
      </c>
      <c r="B81" s="10" t="s">
        <v>235</v>
      </c>
      <c r="C81" s="11" t="n">
        <v>128000</v>
      </c>
      <c r="D81" s="11" t="n">
        <v>76800</v>
      </c>
      <c r="E81" s="11" t="n">
        <v>152867</v>
      </c>
      <c r="F81" s="12" t="n">
        <v>1.99045572916667</v>
      </c>
      <c r="G81" s="11" t="n">
        <v>51200</v>
      </c>
      <c r="H81" s="12" t="n">
        <v>0.4</v>
      </c>
    </row>
    <row r="82" customFormat="false" ht="15" hidden="false" customHeight="false" outlineLevel="0" collapsed="false">
      <c r="A82" s="4" t="s">
        <v>171</v>
      </c>
      <c r="B82" s="5" t="s">
        <v>172</v>
      </c>
      <c r="C82" s="6" t="n">
        <v>120656</v>
      </c>
      <c r="D82" s="6" t="n">
        <v>120656</v>
      </c>
      <c r="E82" s="6" t="n">
        <v>710567</v>
      </c>
      <c r="F82" s="7" t="n">
        <v>5.88919738761437</v>
      </c>
      <c r="G82" s="6" t="n">
        <v>0</v>
      </c>
      <c r="H82" s="7" t="n">
        <v>0</v>
      </c>
    </row>
    <row r="83" customFormat="false" ht="15" hidden="false" customHeight="false" outlineLevel="0" collapsed="false">
      <c r="A83" s="9" t="s">
        <v>208</v>
      </c>
      <c r="B83" s="10" t="s">
        <v>209</v>
      </c>
      <c r="C83" s="11" t="n">
        <v>120000</v>
      </c>
      <c r="D83" s="11" t="n">
        <v>102200</v>
      </c>
      <c r="E83" s="11" t="n">
        <v>47433.2532</v>
      </c>
      <c r="F83" s="12" t="n">
        <v>0.464121851272016</v>
      </c>
      <c r="G83" s="11" t="n">
        <v>17800</v>
      </c>
      <c r="H83" s="12" t="n">
        <v>0.148333333333333</v>
      </c>
    </row>
    <row r="84" customFormat="false" ht="15" hidden="false" customHeight="false" outlineLevel="0" collapsed="false">
      <c r="A84" s="4" t="s">
        <v>111</v>
      </c>
      <c r="B84" s="5" t="s">
        <v>112</v>
      </c>
      <c r="C84" s="6" t="n">
        <v>102000</v>
      </c>
      <c r="D84" s="6" t="n">
        <v>40000</v>
      </c>
      <c r="E84" s="6" t="n">
        <v>28600</v>
      </c>
      <c r="F84" s="7" t="n">
        <v>0.715</v>
      </c>
      <c r="G84" s="6" t="n">
        <v>62000</v>
      </c>
      <c r="H84" s="7" t="n">
        <v>0.607843137254902</v>
      </c>
    </row>
    <row r="85" customFormat="false" ht="15" hidden="false" customHeight="false" outlineLevel="0" collapsed="false">
      <c r="A85" s="9" t="s">
        <v>86</v>
      </c>
      <c r="B85" s="9" t="s">
        <v>87</v>
      </c>
      <c r="C85" s="11" t="n">
        <v>100000</v>
      </c>
      <c r="D85" s="11" t="n">
        <v>60000</v>
      </c>
      <c r="E85" s="11" t="n">
        <v>55388.5</v>
      </c>
      <c r="F85" s="12" t="n">
        <v>0.923141666666667</v>
      </c>
      <c r="G85" s="11" t="n">
        <v>40000</v>
      </c>
      <c r="H85" s="12" t="n">
        <v>0.4</v>
      </c>
    </row>
    <row r="86" customFormat="false" ht="15" hidden="false" customHeight="false" outlineLevel="0" collapsed="false">
      <c r="A86" s="4" t="s">
        <v>269</v>
      </c>
      <c r="B86" s="5" t="s">
        <v>270</v>
      </c>
      <c r="C86" s="6" t="n">
        <v>99450</v>
      </c>
      <c r="D86" s="6" t="n">
        <v>99450</v>
      </c>
      <c r="E86" s="6" t="n">
        <v>25366.77</v>
      </c>
      <c r="F86" s="7" t="n">
        <v>0.255070588235294</v>
      </c>
      <c r="G86" s="6" t="n">
        <v>0</v>
      </c>
      <c r="H86" s="7" t="n">
        <v>0</v>
      </c>
    </row>
    <row r="87" customFormat="false" ht="15" hidden="false" customHeight="false" outlineLevel="0" collapsed="false">
      <c r="A87" s="9" t="s">
        <v>97</v>
      </c>
      <c r="B87" s="10" t="s">
        <v>98</v>
      </c>
      <c r="C87" s="11" t="n">
        <v>85000</v>
      </c>
      <c r="D87" s="11" t="n">
        <v>85000</v>
      </c>
      <c r="E87" s="11" t="n">
        <v>214841.106</v>
      </c>
      <c r="F87" s="12" t="n">
        <v>2.52754242352941</v>
      </c>
      <c r="G87" s="11" t="n">
        <v>0</v>
      </c>
      <c r="H87" s="12" t="n">
        <v>0</v>
      </c>
    </row>
    <row r="88" customFormat="false" ht="15" hidden="false" customHeight="false" outlineLevel="0" collapsed="false">
      <c r="A88" s="4" t="s">
        <v>256</v>
      </c>
      <c r="B88" s="5" t="s">
        <v>257</v>
      </c>
      <c r="C88" s="6" t="n">
        <v>70200</v>
      </c>
      <c r="D88" s="6" t="n">
        <v>23450</v>
      </c>
      <c r="E88" s="6" t="n">
        <v>12584</v>
      </c>
      <c r="F88" s="7" t="n">
        <v>0.536631130063966</v>
      </c>
      <c r="G88" s="6" t="n">
        <v>46750</v>
      </c>
      <c r="H88" s="7" t="n">
        <v>0.665954415954416</v>
      </c>
    </row>
    <row r="89" customFormat="false" ht="15" hidden="false" customHeight="false" outlineLevel="0" collapsed="false">
      <c r="A89" s="9" t="s">
        <v>115</v>
      </c>
      <c r="B89" s="10" t="s">
        <v>116</v>
      </c>
      <c r="C89" s="11" t="n">
        <v>60000</v>
      </c>
      <c r="D89" s="11" t="n">
        <v>20000</v>
      </c>
      <c r="E89" s="11" t="n">
        <v>14300</v>
      </c>
      <c r="F89" s="12" t="n">
        <v>0.715</v>
      </c>
      <c r="G89" s="11" t="n">
        <v>40000</v>
      </c>
      <c r="H89" s="12" t="n">
        <v>0.666666666666667</v>
      </c>
    </row>
    <row r="90" customFormat="false" ht="15" hidden="false" customHeight="false" outlineLevel="0" collapsed="false">
      <c r="A90" s="4" t="s">
        <v>267</v>
      </c>
      <c r="B90" s="5" t="s">
        <v>268</v>
      </c>
      <c r="C90" s="6" t="n">
        <v>58630</v>
      </c>
      <c r="D90" s="6" t="n">
        <v>43130</v>
      </c>
      <c r="E90" s="6" t="n">
        <v>28349.23</v>
      </c>
      <c r="F90" s="7" t="n">
        <v>0.657297240899606</v>
      </c>
      <c r="G90" s="6" t="n">
        <v>15500</v>
      </c>
      <c r="H90" s="7" t="n">
        <v>0.264369776564898</v>
      </c>
    </row>
    <row r="91" customFormat="false" ht="15" hidden="false" customHeight="false" outlineLevel="0" collapsed="false">
      <c r="A91" s="9" t="s">
        <v>258</v>
      </c>
      <c r="B91" s="10" t="s">
        <v>259</v>
      </c>
      <c r="C91" s="11" t="n">
        <v>56500</v>
      </c>
      <c r="D91" s="11" t="n">
        <v>35000</v>
      </c>
      <c r="E91" s="11" t="n">
        <v>38006</v>
      </c>
      <c r="F91" s="12" t="n">
        <v>1.08588571428571</v>
      </c>
      <c r="G91" s="11" t="n">
        <v>21500</v>
      </c>
      <c r="H91" s="12" t="n">
        <v>0.380530973451327</v>
      </c>
    </row>
    <row r="92" customFormat="false" ht="15" hidden="false" customHeight="false" outlineLevel="0" collapsed="false">
      <c r="A92" s="4" t="s">
        <v>41</v>
      </c>
      <c r="B92" s="5" t="s">
        <v>42</v>
      </c>
      <c r="C92" s="6" t="n">
        <v>40000</v>
      </c>
      <c r="D92" s="6" t="n">
        <v>40000</v>
      </c>
      <c r="E92" s="6" t="n">
        <v>33605</v>
      </c>
      <c r="F92" s="7" t="n">
        <v>0.840125</v>
      </c>
      <c r="G92" s="6" t="n">
        <v>0</v>
      </c>
      <c r="H92" s="7" t="n">
        <v>0</v>
      </c>
    </row>
    <row r="93" customFormat="false" ht="15" hidden="false" customHeight="false" outlineLevel="0" collapsed="false">
      <c r="A93" s="9" t="s">
        <v>252</v>
      </c>
      <c r="B93" s="10" t="s">
        <v>253</v>
      </c>
      <c r="C93" s="11" t="n">
        <v>40000</v>
      </c>
      <c r="D93" s="11" t="n">
        <v>31690</v>
      </c>
      <c r="E93" s="11" t="n">
        <v>9051.04</v>
      </c>
      <c r="F93" s="12" t="n">
        <v>0.285611864941622</v>
      </c>
      <c r="G93" s="11" t="n">
        <v>8310</v>
      </c>
      <c r="H93" s="12" t="n">
        <v>0.20775</v>
      </c>
    </row>
    <row r="94" customFormat="false" ht="15" hidden="false" customHeight="false" outlineLevel="0" collapsed="false">
      <c r="A94" s="4" t="s">
        <v>263</v>
      </c>
      <c r="B94" s="5" t="s">
        <v>264</v>
      </c>
      <c r="C94" s="6" t="n">
        <v>40000</v>
      </c>
      <c r="D94" s="6" t="n">
        <v>17824</v>
      </c>
      <c r="E94" s="6" t="n">
        <v>11510.235</v>
      </c>
      <c r="F94" s="7" t="n">
        <v>0.645771712298025</v>
      </c>
      <c r="G94" s="6" t="n">
        <v>22176</v>
      </c>
      <c r="H94" s="7" t="n">
        <v>0.5544</v>
      </c>
    </row>
    <row r="95" customFormat="false" ht="15" hidden="false" customHeight="false" outlineLevel="0" collapsed="false">
      <c r="A95" s="9" t="s">
        <v>265</v>
      </c>
      <c r="B95" s="10" t="s">
        <v>266</v>
      </c>
      <c r="C95" s="11" t="n">
        <v>7500</v>
      </c>
      <c r="D95" s="11" t="n">
        <v>7500</v>
      </c>
      <c r="E95" s="11" t="n">
        <v>2475</v>
      </c>
      <c r="F95" s="12" t="n">
        <v>0.33</v>
      </c>
      <c r="G95" s="11" t="n">
        <v>0</v>
      </c>
      <c r="H95" s="1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6"/>
    <col collapsed="false" customWidth="true" hidden="false" outlineLevel="0" max="2" min="2" style="0" width="19.19"/>
    <col collapsed="false" customWidth="true" hidden="false" outlineLevel="0" max="3" min="3" style="0" width="22.8"/>
    <col collapsed="false" customWidth="true" hidden="false" outlineLevel="0" max="4" min="4" style="0" width="21.6"/>
    <col collapsed="false" customWidth="true" hidden="false" outlineLevel="0" max="8" min="5" style="0" width="10"/>
    <col collapsed="false" customWidth="true" hidden="false" outlineLevel="0" max="9" min="9" style="0" width="14.4"/>
  </cols>
  <sheetData>
    <row r="1" customFormat="false" ht="15" hidden="false" customHeight="false" outlineLevel="0" collapsed="false">
      <c r="A1" s="1" t="s">
        <v>332</v>
      </c>
    </row>
    <row r="3" customFormat="false" ht="15" hidden="false" customHeight="false" outlineLevel="0" collapsed="false">
      <c r="A3" s="20" t="s">
        <v>333</v>
      </c>
    </row>
    <row r="4" customFormat="false" ht="15" hidden="false" customHeight="false" outlineLevel="0" collapsed="false">
      <c r="A4" s="3" t="s">
        <v>11</v>
      </c>
      <c r="B4" s="3" t="s">
        <v>290</v>
      </c>
      <c r="C4" s="3" t="s">
        <v>17</v>
      </c>
      <c r="D4" s="3" t="s">
        <v>334</v>
      </c>
      <c r="E4" s="3" t="s">
        <v>335</v>
      </c>
    </row>
    <row r="5" customFormat="false" ht="15" hidden="false" customHeight="false" outlineLevel="0" collapsed="false">
      <c r="A5" s="5" t="s">
        <v>23</v>
      </c>
      <c r="B5" s="4" t="n">
        <v>24</v>
      </c>
      <c r="C5" s="8" t="n">
        <v>806.73</v>
      </c>
      <c r="D5" s="6" t="n">
        <v>11752833.07</v>
      </c>
      <c r="E5" s="6" t="n">
        <v>14568.47</v>
      </c>
    </row>
    <row r="6" customFormat="false" ht="15" hidden="false" customHeight="false" outlineLevel="0" collapsed="false">
      <c r="A6" s="10" t="s">
        <v>34</v>
      </c>
      <c r="B6" s="9" t="n">
        <v>24</v>
      </c>
      <c r="C6" s="13" t="n">
        <v>367.03</v>
      </c>
      <c r="D6" s="11" t="n">
        <v>5196575.0892</v>
      </c>
      <c r="E6" s="11" t="n">
        <v>14158.27</v>
      </c>
    </row>
    <row r="7" customFormat="false" ht="15" hidden="false" customHeight="false" outlineLevel="0" collapsed="false">
      <c r="A7" s="5" t="s">
        <v>56</v>
      </c>
      <c r="B7" s="4" t="n">
        <v>16</v>
      </c>
      <c r="C7" s="8" t="n">
        <v>299.5</v>
      </c>
      <c r="D7" s="6" t="n">
        <v>4420127.50971</v>
      </c>
      <c r="E7" s="6" t="n">
        <v>14758.31</v>
      </c>
    </row>
    <row r="8" customFormat="false" ht="15" hidden="false" customHeight="false" outlineLevel="0" collapsed="false">
      <c r="A8" s="10" t="s">
        <v>109</v>
      </c>
      <c r="B8" s="9" t="n">
        <v>5</v>
      </c>
      <c r="C8" s="13" t="n">
        <v>112.44</v>
      </c>
      <c r="D8" s="11" t="n">
        <v>1607892</v>
      </c>
      <c r="E8" s="11" t="n">
        <v>14300</v>
      </c>
    </row>
    <row r="9" customFormat="false" ht="15" hidden="false" customHeight="false" outlineLevel="0" collapsed="false">
      <c r="A9" s="5" t="s">
        <v>83</v>
      </c>
      <c r="B9" s="4" t="n">
        <v>6</v>
      </c>
      <c r="C9" s="8" t="n">
        <v>112</v>
      </c>
      <c r="D9" s="6" t="n">
        <v>1601564.25</v>
      </c>
      <c r="E9" s="6" t="n">
        <v>14300</v>
      </c>
    </row>
    <row r="10" customFormat="false" ht="15" hidden="false" customHeight="false" outlineLevel="0" collapsed="false">
      <c r="A10" s="10" t="s">
        <v>121</v>
      </c>
      <c r="B10" s="9" t="n">
        <v>8</v>
      </c>
      <c r="C10" s="13" t="n">
        <v>90.75</v>
      </c>
      <c r="D10" s="11" t="n">
        <v>1297686.39</v>
      </c>
      <c r="E10" s="11" t="n">
        <v>14300</v>
      </c>
    </row>
    <row r="11" customFormat="false" ht="15" hidden="false" customHeight="false" outlineLevel="0" collapsed="false">
      <c r="A11" s="5" t="s">
        <v>239</v>
      </c>
      <c r="B11" s="4" t="n">
        <v>3</v>
      </c>
      <c r="C11" s="8" t="n">
        <v>75.42</v>
      </c>
      <c r="D11" s="6" t="n">
        <v>1078455.95</v>
      </c>
      <c r="E11" s="6" t="n">
        <v>14300</v>
      </c>
    </row>
    <row r="12" customFormat="false" ht="15" hidden="false" customHeight="false" outlineLevel="0" collapsed="false">
      <c r="A12" s="10" t="s">
        <v>54</v>
      </c>
      <c r="B12" s="9" t="n">
        <v>3</v>
      </c>
      <c r="C12" s="13" t="n">
        <v>49.24</v>
      </c>
      <c r="D12" s="11" t="n">
        <v>704119.13</v>
      </c>
      <c r="E12" s="11" t="n">
        <v>14300</v>
      </c>
    </row>
    <row r="13" customFormat="false" ht="15" hidden="false" customHeight="false" outlineLevel="0" collapsed="false">
      <c r="A13" s="5" t="s">
        <v>160</v>
      </c>
      <c r="B13" s="4" t="n">
        <v>1</v>
      </c>
      <c r="C13" s="8" t="n">
        <v>25.7</v>
      </c>
      <c r="D13" s="6" t="n">
        <v>367510</v>
      </c>
      <c r="E13" s="6" t="n">
        <v>14300</v>
      </c>
    </row>
    <row r="14" customFormat="false" ht="15" hidden="false" customHeight="false" outlineLevel="0" collapsed="false">
      <c r="A14" s="10" t="s">
        <v>228</v>
      </c>
      <c r="B14" s="9" t="n">
        <v>1</v>
      </c>
      <c r="C14" s="13" t="n">
        <v>11.03</v>
      </c>
      <c r="D14" s="11" t="n">
        <v>157729</v>
      </c>
      <c r="E14" s="11" t="n">
        <v>14300</v>
      </c>
    </row>
    <row r="15" customFormat="false" ht="15" hidden="false" customHeight="false" outlineLevel="0" collapsed="false">
      <c r="A15" s="5" t="s">
        <v>224</v>
      </c>
      <c r="B15" s="4" t="n">
        <v>1</v>
      </c>
      <c r="C15" s="8" t="n">
        <v>9.93</v>
      </c>
      <c r="D15" s="6" t="n">
        <v>141999</v>
      </c>
      <c r="E15" s="6" t="n">
        <v>14300</v>
      </c>
    </row>
    <row r="16" customFormat="false" ht="15" hidden="false" customHeight="false" outlineLevel="0" collapsed="false">
      <c r="A16" s="10" t="s">
        <v>286</v>
      </c>
      <c r="B16" s="9" t="n">
        <v>1</v>
      </c>
      <c r="C16" s="13" t="n">
        <v>9.19</v>
      </c>
      <c r="D16" s="11" t="n">
        <v>131462.76</v>
      </c>
      <c r="E16" s="11" t="n">
        <v>14300</v>
      </c>
    </row>
    <row r="17" customFormat="false" ht="15" hidden="false" customHeight="false" outlineLevel="0" collapsed="false">
      <c r="A17" s="5" t="s">
        <v>148</v>
      </c>
      <c r="B17" s="4" t="n">
        <v>2</v>
      </c>
      <c r="C17" s="8" t="n">
        <v>0.5</v>
      </c>
      <c r="D17" s="6" t="n">
        <v>7150</v>
      </c>
      <c r="E17" s="6" t="n">
        <v>14300</v>
      </c>
    </row>
    <row r="18" customFormat="false" ht="15" hidden="false" customHeight="false" outlineLevel="0" collapsed="false">
      <c r="A18" s="10" t="s">
        <v>288</v>
      </c>
      <c r="B18" s="9" t="n">
        <v>1</v>
      </c>
      <c r="C18" s="13" t="n">
        <v>0.23</v>
      </c>
      <c r="D18" s="11" t="n">
        <v>3250.39</v>
      </c>
      <c r="E18" s="11" t="n">
        <v>14300</v>
      </c>
    </row>
    <row r="20" customFormat="false" ht="15" hidden="false" customHeight="false" outlineLevel="0" collapsed="false">
      <c r="A20" s="20" t="s">
        <v>336</v>
      </c>
    </row>
    <row r="21" customFormat="false" ht="15" hidden="false" customHeight="false" outlineLevel="0" collapsed="false">
      <c r="A21" s="3" t="s">
        <v>303</v>
      </c>
      <c r="B21" s="3" t="s">
        <v>3</v>
      </c>
      <c r="C21" s="3" t="s">
        <v>4</v>
      </c>
      <c r="D21" s="3" t="s">
        <v>11</v>
      </c>
      <c r="E21" s="3" t="s">
        <v>12</v>
      </c>
      <c r="F21" s="3" t="s">
        <v>337</v>
      </c>
      <c r="G21" s="3" t="s">
        <v>338</v>
      </c>
      <c r="H21" s="3" t="s">
        <v>339</v>
      </c>
      <c r="I21" s="3" t="s">
        <v>334</v>
      </c>
    </row>
    <row r="22" customFormat="false" ht="15" hidden="false" customHeight="false" outlineLevel="0" collapsed="false">
      <c r="A22" s="4" t="n">
        <v>1</v>
      </c>
      <c r="B22" s="4" t="s">
        <v>127</v>
      </c>
      <c r="C22" s="5" t="s">
        <v>128</v>
      </c>
      <c r="D22" s="5" t="s">
        <v>23</v>
      </c>
      <c r="E22" s="5" t="s">
        <v>129</v>
      </c>
      <c r="F22" s="8" t="n">
        <v>144.88</v>
      </c>
      <c r="G22" s="8" t="n">
        <v>144.88</v>
      </c>
      <c r="H22" s="8" t="n">
        <v>0</v>
      </c>
      <c r="I22" s="6" t="n">
        <v>2071784</v>
      </c>
    </row>
    <row r="23" customFormat="false" ht="15" hidden="false" customHeight="false" outlineLevel="0" collapsed="false">
      <c r="A23" s="9" t="n">
        <v>2</v>
      </c>
      <c r="B23" s="9" t="s">
        <v>132</v>
      </c>
      <c r="C23" s="10" t="s">
        <v>133</v>
      </c>
      <c r="D23" s="10" t="s">
        <v>23</v>
      </c>
      <c r="E23" s="10" t="s">
        <v>129</v>
      </c>
      <c r="F23" s="13" t="n">
        <v>144.1</v>
      </c>
      <c r="G23" s="13" t="n">
        <v>144.1</v>
      </c>
      <c r="H23" s="13" t="n">
        <v>0</v>
      </c>
      <c r="I23" s="11" t="n">
        <v>2060630</v>
      </c>
    </row>
    <row r="24" customFormat="false" ht="15" hidden="false" customHeight="false" outlineLevel="0" collapsed="false">
      <c r="A24" s="4" t="n">
        <v>3</v>
      </c>
      <c r="B24" s="4" t="s">
        <v>179</v>
      </c>
      <c r="C24" s="4" t="s">
        <v>180</v>
      </c>
      <c r="D24" s="5" t="s">
        <v>23</v>
      </c>
      <c r="E24" s="5" t="s">
        <v>182</v>
      </c>
      <c r="F24" s="8" t="n">
        <v>89.36</v>
      </c>
      <c r="G24" s="8" t="n">
        <v>84.36</v>
      </c>
      <c r="H24" s="8" t="n">
        <v>5</v>
      </c>
      <c r="I24" s="6" t="n">
        <v>1494099.2</v>
      </c>
    </row>
    <row r="25" customFormat="false" ht="15" hidden="false" customHeight="false" outlineLevel="0" collapsed="false">
      <c r="A25" s="9" t="n">
        <v>4</v>
      </c>
      <c r="B25" s="9" t="s">
        <v>18</v>
      </c>
      <c r="C25" s="10" t="s">
        <v>19</v>
      </c>
      <c r="D25" s="10" t="s">
        <v>23</v>
      </c>
      <c r="E25" s="10" t="s">
        <v>24</v>
      </c>
      <c r="F25" s="13" t="n">
        <v>87.05</v>
      </c>
      <c r="G25" s="13" t="n">
        <v>87.05</v>
      </c>
      <c r="H25" s="13" t="n">
        <v>0</v>
      </c>
      <c r="I25" s="11" t="n">
        <v>1244815</v>
      </c>
    </row>
    <row r="26" customFormat="false" ht="15" hidden="false" customHeight="false" outlineLevel="0" collapsed="false">
      <c r="A26" s="4" t="n">
        <v>5</v>
      </c>
      <c r="B26" s="4" t="s">
        <v>27</v>
      </c>
      <c r="C26" s="5" t="s">
        <v>28</v>
      </c>
      <c r="D26" s="5" t="s">
        <v>23</v>
      </c>
      <c r="E26" s="5" t="s">
        <v>24</v>
      </c>
      <c r="F26" s="8" t="n">
        <v>65.86</v>
      </c>
      <c r="G26" s="8" t="n">
        <v>65.86</v>
      </c>
      <c r="H26" s="8" t="n">
        <v>0</v>
      </c>
      <c r="I26" s="6" t="n">
        <v>941798</v>
      </c>
    </row>
    <row r="27" customFormat="false" ht="15" hidden="false" customHeight="false" outlineLevel="0" collapsed="false">
      <c r="A27" s="9" t="n">
        <v>6</v>
      </c>
      <c r="B27" s="9" t="s">
        <v>130</v>
      </c>
      <c r="C27" s="10" t="s">
        <v>131</v>
      </c>
      <c r="D27" s="10" t="s">
        <v>23</v>
      </c>
      <c r="E27" s="10" t="s">
        <v>129</v>
      </c>
      <c r="F27" s="13" t="n">
        <v>60.13</v>
      </c>
      <c r="G27" s="13" t="n">
        <v>60.13</v>
      </c>
      <c r="H27" s="13" t="n">
        <v>0</v>
      </c>
      <c r="I27" s="11" t="n">
        <v>859859</v>
      </c>
    </row>
    <row r="28" customFormat="false" ht="15" hidden="false" customHeight="false" outlineLevel="0" collapsed="false">
      <c r="A28" s="4" t="n">
        <v>7</v>
      </c>
      <c r="B28" s="4" t="s">
        <v>76</v>
      </c>
      <c r="C28" s="5" t="s">
        <v>77</v>
      </c>
      <c r="D28" s="5" t="s">
        <v>23</v>
      </c>
      <c r="E28" s="5" t="s">
        <v>78</v>
      </c>
      <c r="F28" s="8" t="n">
        <v>59.2</v>
      </c>
      <c r="G28" s="8" t="n">
        <v>58.2</v>
      </c>
      <c r="H28" s="8" t="n">
        <v>1</v>
      </c>
      <c r="I28" s="6" t="n">
        <v>846560</v>
      </c>
    </row>
    <row r="29" customFormat="false" ht="15" hidden="false" customHeight="false" outlineLevel="0" collapsed="false">
      <c r="A29" s="9" t="n">
        <v>8</v>
      </c>
      <c r="B29" s="9" t="s">
        <v>62</v>
      </c>
      <c r="C29" s="10" t="s">
        <v>63</v>
      </c>
      <c r="D29" s="10" t="s">
        <v>56</v>
      </c>
      <c r="E29" s="10" t="s">
        <v>64</v>
      </c>
      <c r="F29" s="13" t="n">
        <v>57.6682</v>
      </c>
      <c r="G29" s="13" t="n">
        <v>56.35</v>
      </c>
      <c r="H29" s="13" t="n">
        <v>1.3182</v>
      </c>
      <c r="I29" s="11" t="n">
        <v>824655.26</v>
      </c>
    </row>
    <row r="30" customFormat="false" ht="15" hidden="false" customHeight="false" outlineLevel="0" collapsed="false">
      <c r="A30" s="4" t="n">
        <v>9</v>
      </c>
      <c r="B30" s="4" t="s">
        <v>201</v>
      </c>
      <c r="C30" s="5" t="s">
        <v>202</v>
      </c>
      <c r="D30" s="5" t="s">
        <v>109</v>
      </c>
      <c r="E30" s="5" t="s">
        <v>110</v>
      </c>
      <c r="F30" s="8" t="n">
        <v>55.69</v>
      </c>
      <c r="G30" s="8" t="n">
        <v>55.69</v>
      </c>
      <c r="H30" s="8" t="n">
        <v>0</v>
      </c>
      <c r="I30" s="6" t="n">
        <v>796367</v>
      </c>
    </row>
    <row r="31" customFormat="false" ht="15" hidden="false" customHeight="false" outlineLevel="0" collapsed="false">
      <c r="A31" s="9" t="n">
        <v>10</v>
      </c>
      <c r="B31" s="9" t="s">
        <v>80</v>
      </c>
      <c r="C31" s="10" t="s">
        <v>81</v>
      </c>
      <c r="D31" s="10" t="s">
        <v>83</v>
      </c>
      <c r="E31" s="10" t="s">
        <v>84</v>
      </c>
      <c r="F31" s="13" t="n">
        <v>54.77</v>
      </c>
      <c r="G31" s="13" t="n">
        <v>54.77</v>
      </c>
      <c r="H31" s="13" t="n">
        <v>0</v>
      </c>
      <c r="I31" s="11" t="n">
        <v>783211</v>
      </c>
    </row>
    <row r="32" customFormat="false" ht="15" hidden="false" customHeight="false" outlineLevel="0" collapsed="false">
      <c r="A32" s="4" t="n">
        <v>11</v>
      </c>
      <c r="B32" s="4" t="s">
        <v>155</v>
      </c>
      <c r="C32" s="5" t="s">
        <v>156</v>
      </c>
      <c r="D32" s="5" t="s">
        <v>56</v>
      </c>
      <c r="E32" s="5" t="s">
        <v>55</v>
      </c>
      <c r="F32" s="8" t="n">
        <v>54.47</v>
      </c>
      <c r="G32" s="8" t="n">
        <v>53.47</v>
      </c>
      <c r="H32" s="8" t="n">
        <v>1</v>
      </c>
      <c r="I32" s="6" t="n">
        <v>1089398.9106</v>
      </c>
    </row>
    <row r="33" customFormat="false" ht="15" hidden="false" customHeight="false" outlineLevel="0" collapsed="false">
      <c r="A33" s="9" t="n">
        <v>12</v>
      </c>
      <c r="B33" s="9" t="s">
        <v>107</v>
      </c>
      <c r="C33" s="10" t="s">
        <v>108</v>
      </c>
      <c r="D33" s="10" t="s">
        <v>109</v>
      </c>
      <c r="E33" s="10" t="s">
        <v>110</v>
      </c>
      <c r="F33" s="13" t="n">
        <v>51.72</v>
      </c>
      <c r="G33" s="13" t="n">
        <v>51.72</v>
      </c>
      <c r="H33" s="13" t="n">
        <v>0</v>
      </c>
      <c r="I33" s="11" t="n">
        <v>739596</v>
      </c>
    </row>
    <row r="34" customFormat="false" ht="15" hidden="false" customHeight="false" outlineLevel="0" collapsed="false">
      <c r="A34" s="4" t="n">
        <v>13</v>
      </c>
      <c r="B34" s="4" t="s">
        <v>146</v>
      </c>
      <c r="C34" s="5" t="s">
        <v>147</v>
      </c>
      <c r="D34" s="5" t="s">
        <v>34</v>
      </c>
      <c r="E34" s="5" t="s">
        <v>46</v>
      </c>
      <c r="F34" s="8" t="n">
        <v>50.46</v>
      </c>
      <c r="G34" s="8" t="n">
        <v>50.46</v>
      </c>
      <c r="H34" s="8" t="n">
        <v>0</v>
      </c>
      <c r="I34" s="6" t="n">
        <v>721578</v>
      </c>
    </row>
    <row r="35" customFormat="false" ht="15" hidden="false" customHeight="false" outlineLevel="0" collapsed="false">
      <c r="A35" s="9" t="n">
        <v>14</v>
      </c>
      <c r="B35" s="9" t="s">
        <v>171</v>
      </c>
      <c r="C35" s="10" t="s">
        <v>172</v>
      </c>
      <c r="D35" s="10" t="s">
        <v>34</v>
      </c>
      <c r="E35" s="10" t="s">
        <v>101</v>
      </c>
      <c r="F35" s="13" t="n">
        <v>49.69</v>
      </c>
      <c r="G35" s="13" t="n">
        <v>49.69</v>
      </c>
      <c r="H35" s="13" t="n">
        <v>0</v>
      </c>
      <c r="I35" s="11" t="n">
        <v>710567</v>
      </c>
    </row>
    <row r="36" customFormat="false" ht="15" hidden="false" customHeight="false" outlineLevel="0" collapsed="false">
      <c r="A36" s="4" t="n">
        <v>15</v>
      </c>
      <c r="B36" s="4" t="s">
        <v>60</v>
      </c>
      <c r="C36" s="5" t="s">
        <v>61</v>
      </c>
      <c r="D36" s="5" t="s">
        <v>56</v>
      </c>
      <c r="E36" s="5" t="s">
        <v>57</v>
      </c>
      <c r="F36" s="8" t="n">
        <v>48.43</v>
      </c>
      <c r="G36" s="8" t="n">
        <v>48.43</v>
      </c>
      <c r="H36" s="8" t="n">
        <v>0</v>
      </c>
      <c r="I36" s="6" t="n">
        <v>692549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9.19"/>
    <col collapsed="false" customWidth="true" hidden="false" outlineLevel="0" max="2" min="2" style="0" width="24"/>
    <col collapsed="false" customWidth="true" hidden="false" outlineLevel="0" max="7" min="3" style="0" width="10"/>
  </cols>
  <sheetData>
    <row r="1" customFormat="false" ht="15" hidden="false" customHeight="false" outlineLevel="0" collapsed="false">
      <c r="A1" s="1" t="s">
        <v>340</v>
      </c>
    </row>
    <row r="3" customFormat="false" ht="15" hidden="false" customHeight="false" outlineLevel="0" collapsed="false">
      <c r="A3" s="20" t="s">
        <v>341</v>
      </c>
    </row>
    <row r="4" customFormat="false" ht="15" hidden="false" customHeight="false" outlineLevel="0" collapsed="false">
      <c r="A4" s="3" t="s">
        <v>342</v>
      </c>
      <c r="B4" s="3" t="s">
        <v>290</v>
      </c>
    </row>
    <row r="5" customFormat="false" ht="15" hidden="false" customHeight="false" outlineLevel="0" collapsed="false">
      <c r="A5" s="4" t="s">
        <v>343</v>
      </c>
      <c r="B5" s="4" t="n">
        <v>20</v>
      </c>
    </row>
    <row r="6" customFormat="false" ht="15" hidden="false" customHeight="false" outlineLevel="0" collapsed="false">
      <c r="A6" s="9" t="s">
        <v>344</v>
      </c>
      <c r="B6" s="9" t="n">
        <v>2</v>
      </c>
    </row>
    <row r="7" customFormat="false" ht="15" hidden="false" customHeight="false" outlineLevel="0" collapsed="false">
      <c r="A7" s="4" t="s">
        <v>345</v>
      </c>
      <c r="B7" s="4" t="n">
        <v>1</v>
      </c>
    </row>
    <row r="8" customFormat="false" ht="15" hidden="false" customHeight="false" outlineLevel="0" collapsed="false">
      <c r="A8" s="9" t="s">
        <v>346</v>
      </c>
      <c r="B8" s="9" t="n">
        <v>2</v>
      </c>
    </row>
    <row r="9" customFormat="false" ht="15" hidden="false" customHeight="false" outlineLevel="0" collapsed="false">
      <c r="A9" s="4" t="s">
        <v>347</v>
      </c>
      <c r="B9" s="4" t="n">
        <v>1</v>
      </c>
    </row>
    <row r="10" customFormat="false" ht="15" hidden="false" customHeight="false" outlineLevel="0" collapsed="false">
      <c r="A10" s="9" t="s">
        <v>311</v>
      </c>
      <c r="B10" s="9" t="n">
        <v>70</v>
      </c>
    </row>
    <row r="11" customFormat="false" ht="15" hidden="false" customHeight="false" outlineLevel="0" collapsed="false">
      <c r="A11" s="5" t="s">
        <v>348</v>
      </c>
      <c r="B11" s="4" t="n">
        <v>0</v>
      </c>
    </row>
    <row r="13" customFormat="false" ht="15" hidden="false" customHeight="false" outlineLevel="0" collapsed="false">
      <c r="A13" s="20" t="s">
        <v>349</v>
      </c>
    </row>
    <row r="14" customFormat="false" ht="15" hidden="false" customHeight="false" outlineLevel="0" collapsed="false">
      <c r="A14" s="3" t="s">
        <v>3</v>
      </c>
      <c r="B14" s="3" t="s">
        <v>4</v>
      </c>
      <c r="C14" s="3" t="s">
        <v>5</v>
      </c>
      <c r="D14" s="3" t="s">
        <v>6</v>
      </c>
      <c r="E14" s="3" t="s">
        <v>11</v>
      </c>
      <c r="F14" s="3" t="s">
        <v>12</v>
      </c>
      <c r="G14" s="3" t="s">
        <v>15</v>
      </c>
    </row>
    <row r="15" customFormat="false" ht="15" hidden="false" customHeight="false" outlineLevel="0" collapsed="false">
      <c r="A15" s="4" t="s">
        <v>37</v>
      </c>
      <c r="B15" s="5" t="s">
        <v>38</v>
      </c>
      <c r="C15" s="5" t="s">
        <v>20</v>
      </c>
      <c r="D15" s="6" t="n">
        <v>9242900</v>
      </c>
      <c r="E15" s="5" t="s">
        <v>23</v>
      </c>
      <c r="F15" s="5" t="s">
        <v>39</v>
      </c>
      <c r="G15" s="7" t="n">
        <v>0.85</v>
      </c>
    </row>
    <row r="16" customFormat="false" ht="15" hidden="false" customHeight="false" outlineLevel="0" collapsed="false">
      <c r="A16" s="9" t="s">
        <v>41</v>
      </c>
      <c r="B16" s="10" t="s">
        <v>42</v>
      </c>
      <c r="C16" s="10" t="s">
        <v>43</v>
      </c>
      <c r="D16" s="11" t="n">
        <v>40000</v>
      </c>
      <c r="E16" s="10" t="s">
        <v>34</v>
      </c>
      <c r="F16" s="10" t="s">
        <v>46</v>
      </c>
      <c r="G16" s="12" t="n">
        <v>0</v>
      </c>
    </row>
    <row r="17" customFormat="false" ht="15" hidden="false" customHeight="false" outlineLevel="0" collapsed="false">
      <c r="A17" s="4" t="s">
        <v>146</v>
      </c>
      <c r="B17" s="5" t="s">
        <v>147</v>
      </c>
      <c r="C17" s="5" t="s">
        <v>43</v>
      </c>
      <c r="D17" s="6" t="n">
        <v>582600</v>
      </c>
      <c r="E17" s="5" t="s">
        <v>34</v>
      </c>
      <c r="F17" s="5" t="s">
        <v>46</v>
      </c>
      <c r="G17" s="7" t="n">
        <v>0</v>
      </c>
    </row>
    <row r="19" customFormat="false" ht="15" hidden="false" customHeight="false" outlineLevel="0" collapsed="false">
      <c r="A19" s="20" t="s">
        <v>350</v>
      </c>
    </row>
    <row r="20" customFormat="false" ht="15" hidden="false" customHeight="false" outlineLevel="0" collapsed="false">
      <c r="A20" s="3" t="s">
        <v>3</v>
      </c>
      <c r="B20" s="3" t="s">
        <v>4</v>
      </c>
      <c r="C20" s="3" t="s">
        <v>5</v>
      </c>
      <c r="D20" s="3" t="s">
        <v>6</v>
      </c>
      <c r="E20" s="3" t="s">
        <v>11</v>
      </c>
      <c r="F20" s="3" t="s">
        <v>12</v>
      </c>
      <c r="G20" s="3" t="s">
        <v>15</v>
      </c>
    </row>
    <row r="21" customFormat="false" ht="15" hidden="false" customHeight="false" outlineLevel="0" collapsed="false">
      <c r="A21" s="4" t="s">
        <v>132</v>
      </c>
      <c r="B21" s="5" t="s">
        <v>133</v>
      </c>
      <c r="C21" s="5" t="s">
        <v>134</v>
      </c>
      <c r="D21" s="6" t="n">
        <v>81000000</v>
      </c>
      <c r="E21" s="5" t="s">
        <v>23</v>
      </c>
      <c r="F21" s="5" t="s">
        <v>129</v>
      </c>
      <c r="G21" s="7" t="n">
        <v>0</v>
      </c>
    </row>
    <row r="22" customFormat="false" ht="15" hidden="false" customHeight="false" outlineLevel="0" collapsed="false">
      <c r="A22" s="9" t="s">
        <v>155</v>
      </c>
      <c r="B22" s="10" t="s">
        <v>156</v>
      </c>
      <c r="C22" s="10" t="s">
        <v>157</v>
      </c>
      <c r="D22" s="11" t="n">
        <v>1060500</v>
      </c>
      <c r="E22" s="10" t="s">
        <v>56</v>
      </c>
      <c r="F22" s="10" t="s">
        <v>55</v>
      </c>
      <c r="G22" s="12" t="n">
        <v>0</v>
      </c>
    </row>
    <row r="23" customFormat="false" ht="15" hidden="false" customHeight="false" outlineLevel="0" collapsed="false">
      <c r="A23" s="4" t="s">
        <v>179</v>
      </c>
      <c r="B23" s="4" t="s">
        <v>180</v>
      </c>
      <c r="C23" s="5" t="s">
        <v>20</v>
      </c>
      <c r="D23" s="6" t="n">
        <v>8061870</v>
      </c>
      <c r="E23" s="5" t="s">
        <v>23</v>
      </c>
      <c r="F23" s="5" t="s">
        <v>182</v>
      </c>
      <c r="G23" s="7" t="n">
        <v>0.95</v>
      </c>
    </row>
    <row r="24" customFormat="false" ht="15" hidden="false" customHeight="false" outlineLevel="0" collapsed="false">
      <c r="A24" s="9" t="s">
        <v>188</v>
      </c>
      <c r="B24" s="10" t="s">
        <v>189</v>
      </c>
      <c r="C24" s="10" t="s">
        <v>43</v>
      </c>
      <c r="D24" s="11" t="n">
        <v>514500</v>
      </c>
      <c r="E24" s="10" t="s">
        <v>34</v>
      </c>
      <c r="F24" s="10" t="s">
        <v>46</v>
      </c>
      <c r="G24" s="12" t="n">
        <v>0.38</v>
      </c>
    </row>
    <row r="25" customFormat="false" ht="15" hidden="false" customHeight="false" outlineLevel="0" collapsed="false">
      <c r="A25" s="4" t="s">
        <v>198</v>
      </c>
      <c r="B25" s="5" t="s">
        <v>199</v>
      </c>
      <c r="C25" s="5" t="s">
        <v>20</v>
      </c>
      <c r="D25" s="6" t="n">
        <v>400000</v>
      </c>
      <c r="E25" s="5" t="s">
        <v>34</v>
      </c>
      <c r="F25" s="5" t="s">
        <v>46</v>
      </c>
      <c r="G25" s="7" t="n">
        <v>0</v>
      </c>
    </row>
    <row r="26" customFormat="false" ht="15" hidden="false" customHeight="false" outlineLevel="0" collapsed="false">
      <c r="A26" s="9" t="s">
        <v>201</v>
      </c>
      <c r="B26" s="10" t="s">
        <v>202</v>
      </c>
      <c r="C26" s="10" t="s">
        <v>157</v>
      </c>
      <c r="D26" s="11" t="n">
        <v>0</v>
      </c>
      <c r="E26" s="10" t="s">
        <v>109</v>
      </c>
      <c r="F26" s="10" t="s">
        <v>110</v>
      </c>
      <c r="G26" s="12" t="n">
        <v>0</v>
      </c>
    </row>
    <row r="27" customFormat="false" ht="15" hidden="false" customHeight="false" outlineLevel="0" collapsed="false">
      <c r="A27" s="4" t="s">
        <v>212</v>
      </c>
      <c r="B27" s="5" t="s">
        <v>213</v>
      </c>
      <c r="C27" s="5" t="s">
        <v>157</v>
      </c>
      <c r="D27" s="6" t="n">
        <v>0</v>
      </c>
      <c r="E27" s="5" t="s">
        <v>54</v>
      </c>
      <c r="F27" s="5" t="s">
        <v>78</v>
      </c>
      <c r="G27" s="7" t="n">
        <v>0</v>
      </c>
    </row>
    <row r="28" customFormat="false" ht="15" hidden="false" customHeight="false" outlineLevel="0" collapsed="false">
      <c r="A28" s="9" t="s">
        <v>216</v>
      </c>
      <c r="B28" s="10" t="s">
        <v>217</v>
      </c>
      <c r="C28" s="10" t="s">
        <v>43</v>
      </c>
      <c r="D28" s="11" t="n">
        <v>562500</v>
      </c>
      <c r="E28" s="10" t="s">
        <v>121</v>
      </c>
      <c r="F28" s="10" t="s">
        <v>122</v>
      </c>
      <c r="G28" s="12" t="n">
        <v>0</v>
      </c>
    </row>
    <row r="29" customFormat="false" ht="15" hidden="false" customHeight="false" outlineLevel="0" collapsed="false">
      <c r="A29" s="4" t="s">
        <v>219</v>
      </c>
      <c r="B29" s="5" t="s">
        <v>220</v>
      </c>
      <c r="C29" s="5" t="s">
        <v>134</v>
      </c>
      <c r="D29" s="6" t="n">
        <v>750000</v>
      </c>
      <c r="E29" s="5" t="s">
        <v>23</v>
      </c>
      <c r="F29" s="5" t="s">
        <v>129</v>
      </c>
      <c r="G29" s="7" t="n">
        <v>1</v>
      </c>
    </row>
    <row r="30" customFormat="false" ht="15" hidden="false" customHeight="false" outlineLevel="0" collapsed="false">
      <c r="A30" s="9" t="s">
        <v>230</v>
      </c>
      <c r="B30" s="10" t="s">
        <v>231</v>
      </c>
      <c r="C30" s="10" t="s">
        <v>43</v>
      </c>
      <c r="D30" s="11" t="n">
        <v>0</v>
      </c>
      <c r="E30" s="10" t="s">
        <v>56</v>
      </c>
      <c r="F30" s="10" t="s">
        <v>225</v>
      </c>
      <c r="G30" s="12" t="n">
        <v>0</v>
      </c>
    </row>
    <row r="31" customFormat="false" ht="15" hidden="false" customHeight="false" outlineLevel="0" collapsed="false">
      <c r="A31" s="4" t="s">
        <v>241</v>
      </c>
      <c r="B31" s="5" t="s">
        <v>242</v>
      </c>
      <c r="C31" s="5" t="s">
        <v>157</v>
      </c>
      <c r="D31" s="6" t="n">
        <v>297500</v>
      </c>
      <c r="E31" s="5" t="s">
        <v>23</v>
      </c>
      <c r="F31" s="5" t="s">
        <v>78</v>
      </c>
      <c r="G31" s="7" t="n">
        <v>0</v>
      </c>
    </row>
    <row r="32" customFormat="false" ht="15" hidden="false" customHeight="false" outlineLevel="0" collapsed="false">
      <c r="A32" s="9" t="s">
        <v>243</v>
      </c>
      <c r="B32" s="10" t="s">
        <v>244</v>
      </c>
      <c r="C32" s="10" t="s">
        <v>20</v>
      </c>
      <c r="D32" s="11" t="n">
        <v>130000</v>
      </c>
      <c r="E32" s="10" t="s">
        <v>83</v>
      </c>
      <c r="F32" s="10" t="s">
        <v>84</v>
      </c>
      <c r="G32" s="12" t="n">
        <v>0</v>
      </c>
    </row>
    <row r="33" customFormat="false" ht="15" hidden="false" customHeight="false" outlineLevel="0" collapsed="false">
      <c r="A33" s="4" t="s">
        <v>256</v>
      </c>
      <c r="B33" s="5" t="s">
        <v>257</v>
      </c>
      <c r="C33" s="5" t="s">
        <v>20</v>
      </c>
      <c r="D33" s="6" t="n">
        <v>70200</v>
      </c>
      <c r="E33" s="5" t="s">
        <v>83</v>
      </c>
      <c r="F33" s="5" t="s">
        <v>236</v>
      </c>
      <c r="G33" s="7" t="n">
        <v>0</v>
      </c>
    </row>
    <row r="34" customFormat="false" ht="15" hidden="false" customHeight="false" outlineLevel="0" collapsed="false">
      <c r="A34" s="9" t="s">
        <v>269</v>
      </c>
      <c r="B34" s="10" t="s">
        <v>270</v>
      </c>
      <c r="C34" s="10" t="s">
        <v>43</v>
      </c>
      <c r="D34" s="11" t="n">
        <v>99450</v>
      </c>
      <c r="E34" s="10" t="s">
        <v>34</v>
      </c>
      <c r="F34" s="10" t="s">
        <v>46</v>
      </c>
      <c r="G34" s="12" t="n">
        <v>0</v>
      </c>
    </row>
    <row r="35" customFormat="false" ht="15" hidden="false" customHeight="false" outlineLevel="0" collapsed="false">
      <c r="A35" s="4" t="s">
        <v>276</v>
      </c>
      <c r="B35" s="5" t="s">
        <v>277</v>
      </c>
      <c r="C35" s="5" t="s">
        <v>157</v>
      </c>
      <c r="D35" s="6" t="n">
        <v>0</v>
      </c>
      <c r="E35" s="5" t="s">
        <v>148</v>
      </c>
      <c r="F35" s="5" t="s">
        <v>225</v>
      </c>
      <c r="G35" s="7" t="n">
        <v>0</v>
      </c>
    </row>
    <row r="36" customFormat="false" ht="15" hidden="false" customHeight="false" outlineLevel="0" collapsed="false">
      <c r="A36" s="9" t="s">
        <v>279</v>
      </c>
      <c r="B36" s="9" t="s">
        <v>280</v>
      </c>
      <c r="C36" s="10" t="s">
        <v>157</v>
      </c>
      <c r="D36" s="11" t="n">
        <v>0</v>
      </c>
      <c r="E36" s="10" t="s">
        <v>148</v>
      </c>
      <c r="F36" s="10" t="s">
        <v>281</v>
      </c>
      <c r="G36" s="1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2026-04-02T13:18:04Z</dcterms:created>
  <dc:creator>openpyxl</dc:creator>
  <dc:description/>
  <dc:language>en-US</dc:language>
  <cp:lastModifiedBy/>
  <dcterms:modified xsi:type="dcterms:W3CDTF">2026-04-02T13:18:04Z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